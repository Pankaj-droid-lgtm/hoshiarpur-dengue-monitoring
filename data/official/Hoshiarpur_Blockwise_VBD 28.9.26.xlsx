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2" activeTab="4"/>
  </bookViews>
  <sheets>
    <sheet name="Instructions" sheetId="1" r:id="rId1"/>
    <sheet name="Dengue &amp; Chikungunya" sheetId="2" r:id="rId2"/>
    <sheet name="Testing Source Split" sheetId="3" r:id="rId3"/>
    <sheet name="Entomological Surveillance" sheetId="4" r:id="rId4"/>
    <sheet name="Community Engagement" sheetId="5" r:id="rId5"/>
    <sheet name="Field Visit &amp; Case Response" sheetId="6" r:id="rId6"/>
    <sheet name="Weekly Block Summary" sheetId="7" r:id="rId7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5" l="1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D6" i="5"/>
  <c r="D5" i="5"/>
  <c r="D4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G13" i="4"/>
  <c r="G14" i="4"/>
  <c r="G15" i="4"/>
  <c r="G16" i="4"/>
  <c r="G17" i="4"/>
  <c r="G18" i="4"/>
  <c r="G19" i="4"/>
  <c r="G20" i="4"/>
  <c r="G21" i="4"/>
  <c r="G22" i="4"/>
  <c r="D13" i="4"/>
  <c r="D14" i="4"/>
  <c r="D15" i="4"/>
  <c r="D16" i="4"/>
  <c r="D17" i="4"/>
  <c r="D18" i="4"/>
  <c r="D19" i="4"/>
  <c r="D20" i="4"/>
  <c r="D21" i="4"/>
  <c r="D22" i="4"/>
  <c r="G12" i="4"/>
  <c r="G11" i="4"/>
  <c r="G10" i="4"/>
  <c r="G9" i="4"/>
  <c r="G8" i="4"/>
  <c r="G7" i="4"/>
  <c r="G6" i="4"/>
  <c r="G5" i="4"/>
  <c r="G4" i="4"/>
  <c r="D12" i="4"/>
  <c r="D11" i="4"/>
  <c r="D10" i="4"/>
  <c r="D9" i="4"/>
  <c r="D8" i="4"/>
  <c r="D7" i="4"/>
  <c r="D6" i="4"/>
  <c r="D5" i="4"/>
  <c r="D4" i="4"/>
  <c r="G6" i="3" l="1"/>
  <c r="H6" i="3" s="1"/>
  <c r="F6" i="3"/>
  <c r="G5" i="3"/>
  <c r="H5" i="3" s="1"/>
  <c r="F5" i="3"/>
  <c r="G4" i="3"/>
  <c r="H4" i="3" s="1"/>
  <c r="F4" i="3"/>
  <c r="I7" i="2" l="1"/>
  <c r="D7" i="2"/>
  <c r="I5" i="2"/>
  <c r="I6" i="2"/>
  <c r="D5" i="2"/>
  <c r="D6" i="2"/>
  <c r="F25" i="7"/>
  <c r="C25" i="7"/>
  <c r="B25" i="7"/>
  <c r="I37" i="5"/>
  <c r="H37" i="5"/>
  <c r="F37" i="5"/>
  <c r="G37" i="5" s="1"/>
  <c r="E37" i="5"/>
  <c r="C37" i="5"/>
  <c r="B37" i="5"/>
  <c r="J36" i="5"/>
  <c r="G36" i="5"/>
  <c r="D36" i="5"/>
  <c r="J35" i="5"/>
  <c r="G35" i="5"/>
  <c r="D35" i="5"/>
  <c r="J34" i="5"/>
  <c r="G34" i="5"/>
  <c r="D34" i="5"/>
  <c r="J33" i="5"/>
  <c r="G33" i="5"/>
  <c r="D33" i="5"/>
  <c r="J32" i="5"/>
  <c r="G32" i="5"/>
  <c r="D32" i="5"/>
  <c r="J31" i="5"/>
  <c r="G31" i="5"/>
  <c r="D31" i="5"/>
  <c r="J30" i="5"/>
  <c r="G30" i="5"/>
  <c r="D30" i="5"/>
  <c r="J29" i="5"/>
  <c r="G29" i="5"/>
  <c r="D29" i="5"/>
  <c r="J28" i="5"/>
  <c r="G28" i="5"/>
  <c r="D28" i="5"/>
  <c r="J27" i="5"/>
  <c r="G27" i="5"/>
  <c r="D27" i="5"/>
  <c r="J26" i="5"/>
  <c r="G26" i="5"/>
  <c r="D26" i="5"/>
  <c r="I34" i="4"/>
  <c r="H34" i="4"/>
  <c r="F34" i="4"/>
  <c r="E34" i="4"/>
  <c r="C34" i="4"/>
  <c r="B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E19" i="3"/>
  <c r="D19" i="3"/>
  <c r="C19" i="3"/>
  <c r="B19" i="3"/>
  <c r="G18" i="3"/>
  <c r="H18" i="3" s="1"/>
  <c r="F18" i="3"/>
  <c r="H17" i="3"/>
  <c r="G17" i="3"/>
  <c r="F17" i="3"/>
  <c r="H16" i="3"/>
  <c r="G16" i="3"/>
  <c r="F16" i="3"/>
  <c r="G15" i="3"/>
  <c r="H15" i="3" s="1"/>
  <c r="F15" i="3"/>
  <c r="G14" i="3"/>
  <c r="H14" i="3" s="1"/>
  <c r="F14" i="3"/>
  <c r="H13" i="3"/>
  <c r="G13" i="3"/>
  <c r="F13" i="3"/>
  <c r="H12" i="3"/>
  <c r="G12" i="3"/>
  <c r="F12" i="3"/>
  <c r="G11" i="3"/>
  <c r="H11" i="3" s="1"/>
  <c r="F11" i="3"/>
  <c r="G10" i="3"/>
  <c r="H10" i="3" s="1"/>
  <c r="F10" i="3"/>
  <c r="H9" i="3"/>
  <c r="G9" i="3"/>
  <c r="F9" i="3"/>
  <c r="G8" i="3"/>
  <c r="H8" i="3" s="1"/>
  <c r="F8" i="3"/>
  <c r="F19" i="3" s="1"/>
  <c r="H19" i="2"/>
  <c r="G19" i="2"/>
  <c r="F19" i="2"/>
  <c r="E19" i="2"/>
  <c r="C19" i="2"/>
  <c r="B19" i="2"/>
  <c r="I18" i="2"/>
  <c r="D18" i="2"/>
  <c r="I17" i="2"/>
  <c r="D17" i="2"/>
  <c r="I16" i="2"/>
  <c r="D16" i="2"/>
  <c r="I15" i="2"/>
  <c r="D15" i="2"/>
  <c r="I14" i="2"/>
  <c r="D14" i="2"/>
  <c r="I13" i="2"/>
  <c r="D13" i="2"/>
  <c r="I12" i="2"/>
  <c r="D12" i="2"/>
  <c r="I11" i="2"/>
  <c r="D11" i="2"/>
  <c r="I4" i="2"/>
  <c r="D4" i="2"/>
  <c r="I9" i="2"/>
  <c r="D9" i="2"/>
  <c r="I8" i="2"/>
  <c r="D8" i="2"/>
  <c r="D37" i="5" l="1"/>
  <c r="J37" i="5"/>
  <c r="G34" i="4"/>
  <c r="D34" i="4"/>
  <c r="I19" i="2"/>
  <c r="D19" i="2"/>
  <c r="G19" i="3"/>
  <c r="H19" i="3" s="1"/>
</calcChain>
</file>

<file path=xl/sharedStrings.xml><?xml version="1.0" encoding="utf-8"?>
<sst xmlns="http://schemas.openxmlformats.org/spreadsheetml/2006/main" count="304" uniqueCount="154">
  <si>
    <t>Hoshiarpur District — Block-wise VBD/WBD Reporting Proforma</t>
  </si>
  <si>
    <t>State NVBDCP / District Health Society, Punjab — for block-wise submission to District Epidemiologist</t>
  </si>
  <si>
    <t>Purpose</t>
  </si>
  <si>
    <t>Standard weekly proforma for all 10 blocks (+ urban area) of Hoshiarpur district to report dengue/chikungunya testing, entomological surveillance, community mobilisation, field supervision, and case response — consolidating the parameters reviewed in the State VBD/WBD meeting.</t>
  </si>
  <si>
    <t>Reporting frequency</t>
  </si>
  <si>
    <t>Weekly (every Monday, for the preceding Mon–Sun), and immediately for any village/ward with a fresh dengue-positive case.</t>
  </si>
  <si>
    <t>Who fills this</t>
  </si>
  <si>
    <t>Block Extension Educator / Block SMO office, consolidated and verified by the District Epidemiologist before submission to the State NVBDCP cell.</t>
  </si>
  <si>
    <t>How to use</t>
  </si>
  <si>
    <t>Enter data only in the YELLOW cells. Grey/blue total rows and all % / rate columns are formulas — do not overwrite them. One row per block on each sheet; add rows on the 'Field Visit &amp; Case Response' sheet as needed (one row per village/ward visited).</t>
  </si>
  <si>
    <t>Sheets</t>
  </si>
  <si>
    <t>1. Dengue &amp; Chikungunya Testing
2. Testing Source Split (AAC vs SSH)
3. Entomological Surveillance
4. Community Engagement
5. Field Visit &amp; Case Response (village-wise)
6. Weekly Block Summary</t>
  </si>
  <si>
    <t>Example</t>
  </si>
  <si>
    <t>A sample filled row is shown in row 4 of each data sheet in italics — delete/overwrite it with real data before circulating.</t>
  </si>
  <si>
    <t>Legend:</t>
  </si>
  <si>
    <t>Fill-in cell</t>
  </si>
  <si>
    <t>Auto-calculated (formula)</t>
  </si>
  <si>
    <t>Dengue &amp; Chikungunya — Testing and Positivity (Block-wise, Weekly)</t>
  </si>
  <si>
    <t>Report Week: ____________   |   Reporting Date: ____________</t>
  </si>
  <si>
    <t>Block</t>
  </si>
  <si>
    <t>Dengue Samples
Tested (week)</t>
  </si>
  <si>
    <t>Dengue Positive
(week)</t>
  </si>
  <si>
    <t>Dengue Positivity
Rate % (week)</t>
  </si>
  <si>
    <t>New Dengue Cases
Reported (this week)</t>
  </si>
  <si>
    <t>Cumulative Dengue
Cases (season)</t>
  </si>
  <si>
    <t>Chikungunya Samples
Tested (week)</t>
  </si>
  <si>
    <t>Chikungunya Positive
(week)</t>
  </si>
  <si>
    <t>Chikungunya Positivity
Rate % (week)</t>
  </si>
  <si>
    <t>Garhshankar</t>
  </si>
  <si>
    <t>Mahilpur</t>
  </si>
  <si>
    <t>Hoshiarpur-1</t>
  </si>
  <si>
    <t>Hoshiarpur-2</t>
  </si>
  <si>
    <t>Bhunga</t>
  </si>
  <si>
    <t>Dasuya</t>
  </si>
  <si>
    <t>Tanda</t>
  </si>
  <si>
    <t>Talwara</t>
  </si>
  <si>
    <t>Mukerian</t>
  </si>
  <si>
    <t>Hajipur</t>
  </si>
  <si>
    <t>Urban (MC Hoshiarpur + ULBs)</t>
  </si>
  <si>
    <t>District Total</t>
  </si>
  <si>
    <t>Dengue Testing Source Split — Anti-larval/Fever Clinics (AAC) vs Sub-district/State Hospitals (SSH)</t>
  </si>
  <si>
    <t>Dengue Tests done
at AACs (week)</t>
  </si>
  <si>
    <t>Dengue Positive
at AACs (week)</t>
  </si>
  <si>
    <t>Dengue Tests done
at SSHs (week)</t>
  </si>
  <si>
    <t>Dengue Positive
at SSHs (week)</t>
  </si>
  <si>
    <t>Total Tests
(AAC+SSH)</t>
  </si>
  <si>
    <t>Total Positive
(AAC+SSH)</t>
  </si>
  <si>
    <t>% Positives
from SSH</t>
  </si>
  <si>
    <t>Entomological Surveillance &amp; Fogging Compliance (Block-wise, Weekly)</t>
  </si>
  <si>
    <t>Houses
Checked</t>
  </si>
  <si>
    <t>Houses Positive
for Larvae</t>
  </si>
  <si>
    <t>House
Index %</t>
  </si>
  <si>
    <t>Containers
Checked</t>
  </si>
  <si>
    <t>Containers Positive
for Larvae</t>
  </si>
  <si>
    <t>Container
Index %</t>
  </si>
  <si>
    <t>Warning Notices
Issued</t>
  </si>
  <si>
    <t>Challans
Done</t>
  </si>
  <si>
    <t>Fogging by Dept. of
Local Government (Y/Not Regular/N)</t>
  </si>
  <si>
    <t>Fogging by Rural Dev. &amp;
Panchayats Dept. (Y/Not Regular/N)</t>
  </si>
  <si>
    <t>Community Engagement in Anti-Dengue Campaign (Block-wise)</t>
  </si>
  <si>
    <t>Nursing Students —
Total in Block</t>
  </si>
  <si>
    <t>Nursing Students —
Involved in Campaign</t>
  </si>
  <si>
    <t>% Nursing Students
Involved</t>
  </si>
  <si>
    <t>VHSCs —
Total in Block</t>
  </si>
  <si>
    <t>VHSCs —
Involved in Campaign</t>
  </si>
  <si>
    <t>% VHSCs
Involved</t>
  </si>
  <si>
    <t>RWAs —
Total in Block</t>
  </si>
  <si>
    <t>RWAs —
Involved in Campaign</t>
  </si>
  <si>
    <t>% RWAs
Involved</t>
  </si>
  <si>
    <t>Field Visit &amp; Dengue-Positive Case-House Response Log (Village/Ward-wise)</t>
  </si>
  <si>
    <t>Log every visit to a dengue-positive case house or larval hotspot — add rows as needed</t>
  </si>
  <si>
    <t>Village / Ward
Name</t>
  </si>
  <si>
    <t>Date of
Visit</t>
  </si>
  <si>
    <t>Visiting Officer
(Name &amp; Designation)</t>
  </si>
  <si>
    <t>District Epidemiologist
Supervision Visit Done (Y/N)</t>
  </si>
  <si>
    <t>Larva Found at
Index House (Y/N)</t>
  </si>
  <si>
    <t>Larva Found in
Surrounding Houses (Y/N)</t>
  </si>
  <si>
    <t>Indoor Fogging
Done (Y/N)</t>
  </si>
  <si>
    <t>Outdoor Fogging
Done (Y/N)</t>
  </si>
  <si>
    <t>ASHA Involved
(Y/N)</t>
  </si>
  <si>
    <t>Nursing Students
Involved (Y/N)</t>
  </si>
  <si>
    <t>Community Awareness
Level (Good/Moderate/Poor)</t>
  </si>
  <si>
    <t>Action Taken /
Remarks</t>
  </si>
  <si>
    <t>Village Baghpur</t>
  </si>
  <si>
    <t>18-Sep-2026</t>
  </si>
  <si>
    <t>State NVBDCP Team</t>
  </si>
  <si>
    <t>N</t>
  </si>
  <si>
    <t>Y</t>
  </si>
  <si>
    <t>Poor</t>
  </si>
  <si>
    <t>Anti-larval activity poor; sensitize ASHA &amp; nursing students; conduct fogging within 48 hrs</t>
  </si>
  <si>
    <t>Weekly Block-wise Summary &amp; Corrective Action Tracker</t>
  </si>
  <si>
    <t>For District Epidemiologist consolidation and review with Civil Surgeon / Block SMOs</t>
  </si>
  <si>
    <t>New Dengue Cases
(this week)</t>
  </si>
  <si>
    <t>Active Block
Status (Y/N)</t>
  </si>
  <si>
    <t>Block-level VC
Conducted (Y/N)</t>
  </si>
  <si>
    <t>No. of District/State
Team Field Visits (week)</t>
  </si>
  <si>
    <t>Key Issues Identified</t>
  </si>
  <si>
    <t>Corrective Action
Planned</t>
  </si>
  <si>
    <t>Target Completion
Date</t>
  </si>
  <si>
    <t>DH Hoshiarpur</t>
  </si>
  <si>
    <t>SDH Mukerian</t>
  </si>
  <si>
    <t>CHC Bhunga</t>
  </si>
  <si>
    <t>AACs</t>
  </si>
  <si>
    <t>Harta Badla</t>
  </si>
  <si>
    <t>Mand Bhander</t>
  </si>
  <si>
    <t xml:space="preserve">Possi </t>
  </si>
  <si>
    <t>Chakowal</t>
  </si>
  <si>
    <t>Paldi</t>
  </si>
  <si>
    <t>Budhabar</t>
  </si>
  <si>
    <t>Urban Hoshiarpur</t>
  </si>
  <si>
    <t>Sham chourasi</t>
  </si>
  <si>
    <t>Hariana</t>
  </si>
  <si>
    <t>Garhdiwala</t>
  </si>
  <si>
    <t>No</t>
  </si>
  <si>
    <t>positive case fogging done by health department only</t>
  </si>
  <si>
    <t>Budhabarh</t>
  </si>
  <si>
    <t>BHUNGA</t>
  </si>
  <si>
    <t>POSSI</t>
  </si>
  <si>
    <t>HOSHIARPUR</t>
  </si>
  <si>
    <t xml:space="preserve">manan hsp </t>
  </si>
  <si>
    <t>baghpur hsp</t>
  </si>
  <si>
    <t>ABDULAPUR</t>
  </si>
  <si>
    <t>MALHEWAL, DASUYA</t>
  </si>
  <si>
    <t>nasrala hsp</t>
  </si>
  <si>
    <t>WO NARINDER, VPO DARAPUR</t>
  </si>
  <si>
    <t>sonalika hsp</t>
  </si>
  <si>
    <t>SO BALBIR KUMAR, VPO RAMPUR BILRON</t>
  </si>
  <si>
    <t xml:space="preserve">DO RAM SINGH, VPO SADHEWAL </t>
  </si>
  <si>
    <t>premgarh hsp</t>
  </si>
  <si>
    <t>pandori bawha hsp</t>
  </si>
  <si>
    <t>y</t>
  </si>
  <si>
    <t>no</t>
  </si>
  <si>
    <t>rahimpur hsp/scheme number 2</t>
  </si>
  <si>
    <t>purhira hsp/bane sha</t>
  </si>
  <si>
    <t>n</t>
  </si>
  <si>
    <t>door to door houses checked and source reduction done, larvicide spray done</t>
  </si>
  <si>
    <t>good but source reduction practice is not there</t>
  </si>
  <si>
    <t>Bhunga, Hariana &amp; Gardhiwala</t>
  </si>
  <si>
    <t>Mand Mandher &amp; Dasuya</t>
  </si>
  <si>
    <t>Possi &amp; Garhshankar</t>
  </si>
  <si>
    <t>Chakowal &amp; Sham Chaurasi</t>
  </si>
  <si>
    <t>Paldi and Mahilpur</t>
  </si>
  <si>
    <t>Budhabarh &amp; Mukerian</t>
  </si>
  <si>
    <t>Hajipur &amp; Talwara</t>
  </si>
  <si>
    <t>Tanda (Urban &amp; Rural)</t>
  </si>
  <si>
    <t>Harta badla</t>
  </si>
  <si>
    <t>Mand mandher</t>
  </si>
  <si>
    <t>Possi</t>
  </si>
  <si>
    <t>Tanda (rural)</t>
  </si>
  <si>
    <t>Gardhiwala</t>
  </si>
  <si>
    <t>Sham chaurasi</t>
  </si>
  <si>
    <t>Tanda (urban)</t>
  </si>
  <si>
    <t>Hoshiarpur (urban)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</si>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</sst>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i/>
      <sz val="10"/>
      <color rgb="FF808080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top" wrapText="1"/>
    </xf>
    <xf numFmtId="0" fontId="3" fillId="0" borderId="0" xfId="0" applyFont="1" applyBorder="1"/>
    <xf numFmtId="0" fontId="2" fillId="0" borderId="0" xfId="0" applyFont="1" applyBorder="1"/>
    <xf numFmtId="0" fontId="4" fillId="0" borderId="0" xfId="0" applyFont="1"/>
    <xf numFmtId="0" fontId="6" fillId="0" borderId="0" xfId="0" applyFont="1"/>
    <xf numFmtId="0" fontId="0" fillId="2" borderId="1" xfId="0" applyFont="1" applyFill="1" applyBorder="1"/>
    <xf numFmtId="0" fontId="5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9" fillId="2" borderId="1" xfId="0" applyFont="1" applyFill="1" applyBorder="1"/>
    <xf numFmtId="0" fontId="5" fillId="2" borderId="1" xfId="0" applyFont="1" applyFill="1" applyBorder="1"/>
    <xf numFmtId="10" fontId="5" fillId="0" borderId="1" xfId="0" applyNumberFormat="1" applyFont="1" applyBorder="1"/>
    <xf numFmtId="0" fontId="6" fillId="4" borderId="1" xfId="0" applyFont="1" applyFill="1" applyBorder="1"/>
    <xf numFmtId="10" fontId="6" fillId="4" borderId="1" xfId="0" applyNumberFormat="1" applyFont="1" applyFill="1" applyBorder="1"/>
    <xf numFmtId="164" fontId="5" fillId="0" borderId="1" xfId="0" applyNumberFormat="1" applyFont="1" applyBorder="1"/>
    <xf numFmtId="164" fontId="6" fillId="4" borderId="1" xfId="0" applyNumberFormat="1" applyFont="1" applyFill="1" applyBorder="1"/>
    <xf numFmtId="0" fontId="10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1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4" xfId="0" applyNumberFormat="1" applyFont="1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0" customWidth="1"/>
    <col min="2" max="6" width="16" customWidth="1"/>
  </cols>
  <sheetData>
    <row r="1" spans="1:6" ht="20.25" x14ac:dyDescent="0.3">
      <c r="A1" s="4" t="s">
        <v>0</v>
      </c>
      <c r="B1" s="4"/>
      <c r="C1" s="4"/>
      <c r="D1" s="4"/>
      <c r="E1" s="4"/>
      <c r="F1" s="4"/>
    </row>
    <row r="2" spans="1:6" x14ac:dyDescent="0.25">
      <c r="A2" s="3" t="s">
        <v>1</v>
      </c>
      <c r="B2" s="3"/>
      <c r="C2" s="3"/>
      <c r="D2" s="3"/>
      <c r="E2" s="3"/>
      <c r="F2" s="3"/>
    </row>
    <row r="4" spans="1:6" ht="30" customHeight="1" x14ac:dyDescent="0.25">
      <c r="A4" s="5" t="s">
        <v>2</v>
      </c>
      <c r="B4" s="2" t="s">
        <v>3</v>
      </c>
      <c r="C4" s="2"/>
      <c r="D4" s="2"/>
      <c r="E4" s="2"/>
      <c r="F4" s="2"/>
    </row>
    <row r="6" spans="1:6" ht="30" customHeight="1" x14ac:dyDescent="0.25">
      <c r="A6" s="5" t="s">
        <v>4</v>
      </c>
      <c r="B6" s="2" t="s">
        <v>5</v>
      </c>
      <c r="C6" s="2"/>
      <c r="D6" s="2"/>
      <c r="E6" s="2"/>
      <c r="F6" s="2"/>
    </row>
    <row r="8" spans="1:6" ht="30" customHeight="1" x14ac:dyDescent="0.25">
      <c r="A8" s="5" t="s">
        <v>6</v>
      </c>
      <c r="B8" s="2" t="s">
        <v>7</v>
      </c>
      <c r="C8" s="2"/>
      <c r="D8" s="2"/>
      <c r="E8" s="2"/>
      <c r="F8" s="2"/>
    </row>
    <row r="10" spans="1:6" ht="30" customHeight="1" x14ac:dyDescent="0.25">
      <c r="A10" s="5" t="s">
        <v>8</v>
      </c>
      <c r="B10" s="2" t="s">
        <v>9</v>
      </c>
      <c r="C10" s="2"/>
      <c r="D10" s="2"/>
      <c r="E10" s="2"/>
      <c r="F10" s="2"/>
    </row>
    <row r="12" spans="1:6" ht="105.75" customHeight="1" x14ac:dyDescent="0.25">
      <c r="A12" s="5" t="s">
        <v>10</v>
      </c>
      <c r="B12" s="2" t="s">
        <v>11</v>
      </c>
      <c r="C12" s="2"/>
      <c r="D12" s="2"/>
      <c r="E12" s="2"/>
      <c r="F12" s="2"/>
    </row>
    <row r="14" spans="1:6" ht="30" customHeight="1" x14ac:dyDescent="0.25">
      <c r="A14" s="5" t="s">
        <v>12</v>
      </c>
      <c r="B14" s="2" t="s">
        <v>13</v>
      </c>
      <c r="C14" s="2"/>
      <c r="D14" s="2"/>
      <c r="E14" s="2"/>
      <c r="F14" s="2"/>
    </row>
    <row r="17" spans="1:3" x14ac:dyDescent="0.25">
      <c r="A17" s="6" t="s">
        <v>14</v>
      </c>
      <c r="B17" s="7" t="s">
        <v>15</v>
      </c>
      <c r="C17" s="8" t="s">
        <v>16</v>
      </c>
    </row>
  </sheetData>
  <mergeCells count="8">
    <mergeCell ref="B10:F10"/>
    <mergeCell ref="B12:F12"/>
    <mergeCell ref="B14:F14"/>
    <mergeCell ref="A1:F1"/>
    <mergeCell ref="A2:F2"/>
    <mergeCell ref="B4:F4"/>
    <mergeCell ref="B6:F6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9"/>
    </sheetView>
  </sheetViews>
  <sheetFormatPr defaultColWidth="8.7109375" defaultRowHeight="15" x14ac:dyDescent="0.25"/>
  <cols>
    <col min="1" max="1" width="24.5703125" customWidth="1"/>
    <col min="2" max="2" width="22.42578125" customWidth="1"/>
    <col min="3" max="3" width="19.85546875" customWidth="1"/>
    <col min="4" max="4" width="16.5703125" customWidth="1"/>
    <col min="5" max="5" width="20.28515625" customWidth="1"/>
    <col min="6" max="7" width="18.5703125" customWidth="1"/>
    <col min="8" max="8" width="18.7109375" customWidth="1"/>
    <col min="9" max="9" width="21" customWidth="1"/>
  </cols>
  <sheetData>
    <row r="1" spans="1:9" ht="21.75" customHeight="1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</row>
    <row r="3" spans="1:9" ht="39.75" customHeight="1" x14ac:dyDescent="0.25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spans="1:9" x14ac:dyDescent="0.25">
      <c r="A4" s="20" t="s">
        <v>99</v>
      </c>
      <c r="B4" s="12">
        <v>44</v>
      </c>
      <c r="C4" s="12">
        <v>7</v>
      </c>
      <c r="D4" s="13">
        <f>IFERROR(C4/B4,0)</f>
        <v>0.15909090909090909</v>
      </c>
      <c r="E4" s="12">
        <v>7</v>
      </c>
      <c r="F4" s="12">
        <v>42</v>
      </c>
      <c r="G4" s="12">
        <v>5</v>
      </c>
      <c r="H4" s="12">
        <v>0</v>
      </c>
      <c r="I4" s="13">
        <f>IFERROR(H4/G4,0)</f>
        <v>0</v>
      </c>
    </row>
    <row r="5" spans="1:9" x14ac:dyDescent="0.25">
      <c r="A5" s="20" t="s">
        <v>100</v>
      </c>
      <c r="B5" s="11">
        <v>11</v>
      </c>
      <c r="C5" s="12">
        <v>1</v>
      </c>
      <c r="D5" s="13">
        <f t="shared" ref="D5:D7" si="0">IFERROR(C5/B5,0)</f>
        <v>9.0909090909090912E-2</v>
      </c>
      <c r="E5" s="12">
        <v>1</v>
      </c>
      <c r="F5" s="12">
        <v>9</v>
      </c>
      <c r="G5" s="12">
        <v>0</v>
      </c>
      <c r="H5" s="12">
        <v>0</v>
      </c>
      <c r="I5" s="13">
        <f t="shared" ref="I5:I7" si="1">IFERROR(H5/G5,0)</f>
        <v>0</v>
      </c>
    </row>
    <row r="6" spans="1:9" x14ac:dyDescent="0.25">
      <c r="A6" s="20" t="s">
        <v>101</v>
      </c>
      <c r="B6" s="11">
        <v>24</v>
      </c>
      <c r="C6" s="12">
        <v>0</v>
      </c>
      <c r="D6" s="13">
        <f t="shared" si="0"/>
        <v>0</v>
      </c>
      <c r="E6" s="12">
        <v>0</v>
      </c>
      <c r="F6" s="12">
        <v>4</v>
      </c>
      <c r="G6" s="12">
        <v>0</v>
      </c>
      <c r="H6" s="12">
        <v>0</v>
      </c>
      <c r="I6" s="13">
        <f t="shared" si="1"/>
        <v>0</v>
      </c>
    </row>
    <row r="7" spans="1:9" x14ac:dyDescent="0.25">
      <c r="A7" s="20" t="s">
        <v>102</v>
      </c>
      <c r="B7" s="11"/>
      <c r="C7" s="12">
        <v>0</v>
      </c>
      <c r="D7" s="13">
        <f t="shared" si="0"/>
        <v>0</v>
      </c>
      <c r="E7" s="12">
        <v>0</v>
      </c>
      <c r="F7" s="12">
        <v>3148</v>
      </c>
      <c r="G7" s="12">
        <v>0</v>
      </c>
      <c r="H7" s="12">
        <v>0</v>
      </c>
      <c r="I7" s="13">
        <f t="shared" si="1"/>
        <v>0</v>
      </c>
    </row>
    <row r="8" spans="1:9" x14ac:dyDescent="0.25">
      <c r="A8" s="10" t="s">
        <v>28</v>
      </c>
      <c r="B8" s="11"/>
      <c r="C8" s="12"/>
      <c r="D8" s="13">
        <f>IFERROR(C8/B8,0)</f>
        <v>0</v>
      </c>
      <c r="E8" s="12"/>
      <c r="F8" s="12"/>
      <c r="G8" s="12"/>
      <c r="H8" s="12"/>
      <c r="I8" s="13">
        <f>IFERROR(H8/G8,0)</f>
        <v>0</v>
      </c>
    </row>
    <row r="9" spans="1:9" x14ac:dyDescent="0.25">
      <c r="A9" s="10" t="s">
        <v>29</v>
      </c>
      <c r="B9" s="12"/>
      <c r="C9" s="12"/>
      <c r="D9" s="13">
        <f t="shared" ref="D4:D19" si="2">IFERROR(C9/B9,0)</f>
        <v>0</v>
      </c>
      <c r="E9" s="12"/>
      <c r="F9" s="12"/>
      <c r="G9" s="12"/>
      <c r="H9" s="12"/>
      <c r="I9" s="13">
        <f t="shared" ref="I4:I19" si="3">IFERROR(H9/G9,0)</f>
        <v>0</v>
      </c>
    </row>
    <row r="10" spans="1:9" x14ac:dyDescent="0.25">
      <c r="A10" s="20" t="s">
        <v>30</v>
      </c>
    </row>
    <row r="11" spans="1:9" x14ac:dyDescent="0.25">
      <c r="A11" s="10" t="s">
        <v>31</v>
      </c>
      <c r="B11" s="12"/>
      <c r="C11" s="12"/>
      <c r="D11" s="13">
        <f t="shared" si="2"/>
        <v>0</v>
      </c>
      <c r="E11" s="12"/>
      <c r="F11" s="12"/>
      <c r="G11" s="12"/>
      <c r="H11" s="12"/>
      <c r="I11" s="13">
        <f t="shared" si="3"/>
        <v>0</v>
      </c>
    </row>
    <row r="12" spans="1:9" x14ac:dyDescent="0.25">
      <c r="A12" s="10" t="s">
        <v>32</v>
      </c>
      <c r="B12" s="12"/>
      <c r="C12" s="12"/>
      <c r="D12" s="13">
        <f t="shared" si="2"/>
        <v>0</v>
      </c>
      <c r="E12" s="12"/>
      <c r="F12" s="12"/>
      <c r="G12" s="12"/>
      <c r="H12" s="12"/>
      <c r="I12" s="13">
        <f t="shared" si="3"/>
        <v>0</v>
      </c>
    </row>
    <row r="13" spans="1:9" x14ac:dyDescent="0.25">
      <c r="A13" s="10" t="s">
        <v>33</v>
      </c>
      <c r="B13" s="12"/>
      <c r="C13" s="12"/>
      <c r="D13" s="13">
        <f t="shared" si="2"/>
        <v>0</v>
      </c>
      <c r="E13" s="12"/>
      <c r="F13" s="12"/>
      <c r="G13" s="12"/>
      <c r="H13" s="12"/>
      <c r="I13" s="13">
        <f t="shared" si="3"/>
        <v>0</v>
      </c>
    </row>
    <row r="14" spans="1:9" x14ac:dyDescent="0.25">
      <c r="A14" s="10" t="s">
        <v>34</v>
      </c>
      <c r="B14" s="12"/>
      <c r="C14" s="12"/>
      <c r="D14" s="13">
        <f t="shared" si="2"/>
        <v>0</v>
      </c>
      <c r="E14" s="12"/>
      <c r="F14" s="12"/>
      <c r="G14" s="12"/>
      <c r="H14" s="12"/>
      <c r="I14" s="13">
        <f t="shared" si="3"/>
        <v>0</v>
      </c>
    </row>
    <row r="15" spans="1:9" x14ac:dyDescent="0.25">
      <c r="A15" s="10" t="s">
        <v>35</v>
      </c>
      <c r="B15" s="12"/>
      <c r="C15" s="12"/>
      <c r="D15" s="13">
        <f t="shared" si="2"/>
        <v>0</v>
      </c>
      <c r="E15" s="12"/>
      <c r="F15" s="12"/>
      <c r="G15" s="12"/>
      <c r="H15" s="12"/>
      <c r="I15" s="13">
        <f t="shared" si="3"/>
        <v>0</v>
      </c>
    </row>
    <row r="16" spans="1:9" x14ac:dyDescent="0.25">
      <c r="A16" s="10" t="s">
        <v>36</v>
      </c>
      <c r="B16" s="12"/>
      <c r="C16" s="12"/>
      <c r="D16" s="13">
        <f t="shared" si="2"/>
        <v>0</v>
      </c>
      <c r="E16" s="12"/>
      <c r="F16" s="12"/>
      <c r="G16" s="12"/>
      <c r="H16" s="12"/>
      <c r="I16" s="13">
        <f t="shared" si="3"/>
        <v>0</v>
      </c>
    </row>
    <row r="17" spans="1:9" x14ac:dyDescent="0.25">
      <c r="A17" s="10" t="s">
        <v>37</v>
      </c>
      <c r="B17" s="12"/>
      <c r="C17" s="12"/>
      <c r="D17" s="13">
        <f t="shared" si="2"/>
        <v>0</v>
      </c>
      <c r="E17" s="12"/>
      <c r="F17" s="12"/>
      <c r="G17" s="12"/>
      <c r="H17" s="12"/>
      <c r="I17" s="13">
        <f t="shared" si="3"/>
        <v>0</v>
      </c>
    </row>
    <row r="18" spans="1:9" x14ac:dyDescent="0.25">
      <c r="A18" s="10" t="s">
        <v>38</v>
      </c>
      <c r="B18" s="12"/>
      <c r="C18" s="12"/>
      <c r="D18" s="13">
        <f t="shared" si="2"/>
        <v>0</v>
      </c>
      <c r="E18" s="12"/>
      <c r="F18" s="12"/>
      <c r="G18" s="12"/>
      <c r="H18" s="12"/>
      <c r="I18" s="13">
        <f t="shared" si="3"/>
        <v>0</v>
      </c>
    </row>
    <row r="19" spans="1:9" x14ac:dyDescent="0.25">
      <c r="A19" s="14" t="s">
        <v>39</v>
      </c>
      <c r="B19" s="14">
        <f>SUM(B5:B18)</f>
        <v>35</v>
      </c>
      <c r="C19" s="14">
        <f>SUM(C5:C18)</f>
        <v>1</v>
      </c>
      <c r="D19" s="15">
        <f t="shared" si="2"/>
        <v>2.8571428571428571E-2</v>
      </c>
      <c r="E19" s="14">
        <f>SUM(E5:E18)</f>
        <v>1</v>
      </c>
      <c r="F19" s="14">
        <f>SUM(F5:F18)</f>
        <v>3161</v>
      </c>
      <c r="G19" s="14">
        <f>SUM(G5:G18)</f>
        <v>0</v>
      </c>
      <c r="H19" s="14">
        <f>SUM(H5:H18)</f>
        <v>0</v>
      </c>
      <c r="I19" s="15">
        <f t="shared" si="3"/>
        <v>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9"/>
    </sheetView>
  </sheetViews>
  <sheetFormatPr defaultColWidth="8.7109375" defaultRowHeight="15" x14ac:dyDescent="0.25"/>
  <cols>
    <col min="1" max="1" width="28.85546875" customWidth="1"/>
    <col min="2" max="2" width="20.85546875" customWidth="1"/>
    <col min="3" max="3" width="20.28515625" customWidth="1"/>
    <col min="4" max="4" width="22.5703125" customWidth="1"/>
    <col min="5" max="5" width="19.140625" customWidth="1"/>
    <col min="6" max="6" width="12" customWidth="1"/>
    <col min="7" max="7" width="13" customWidth="1"/>
    <col min="8" max="8" width="11" customWidth="1"/>
  </cols>
  <sheetData>
    <row r="1" spans="1:8" ht="21.75" customHeight="1" x14ac:dyDescent="0.25">
      <c r="A1" s="1" t="s">
        <v>40</v>
      </c>
      <c r="B1" s="1"/>
      <c r="C1" s="1"/>
      <c r="D1" s="1"/>
      <c r="E1" s="1"/>
      <c r="F1" s="1"/>
      <c r="G1" s="1"/>
      <c r="H1" s="1"/>
    </row>
    <row r="2" spans="1:8" ht="15.75" customHeight="1" x14ac:dyDescent="0.25">
      <c r="A2" s="3" t="s">
        <v>18</v>
      </c>
      <c r="B2" s="3"/>
      <c r="C2" s="3"/>
      <c r="D2" s="3"/>
      <c r="E2" s="3"/>
      <c r="F2" s="3"/>
      <c r="G2" s="3"/>
      <c r="H2" s="3"/>
    </row>
    <row r="3" spans="1:8" ht="39.75" customHeight="1" x14ac:dyDescent="0.25">
      <c r="A3" s="9" t="s">
        <v>19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</row>
    <row r="4" spans="1:8" x14ac:dyDescent="0.25">
      <c r="A4" s="20" t="s">
        <v>99</v>
      </c>
      <c r="D4" s="12">
        <v>44</v>
      </c>
      <c r="E4" s="12">
        <v>7</v>
      </c>
      <c r="F4" s="10">
        <f t="shared" ref="F4:F6" si="0">B4+D4</f>
        <v>44</v>
      </c>
      <c r="G4" s="10">
        <f t="shared" ref="G4:G6" si="1">C4+E4</f>
        <v>7</v>
      </c>
      <c r="H4" s="16">
        <f t="shared" ref="H4:H6" si="2">IFERROR(E4/G4,0)</f>
        <v>1</v>
      </c>
    </row>
    <row r="5" spans="1:8" x14ac:dyDescent="0.25">
      <c r="A5" s="20" t="s">
        <v>100</v>
      </c>
      <c r="B5" s="12"/>
      <c r="C5" s="12"/>
      <c r="D5" s="11">
        <v>11</v>
      </c>
      <c r="E5" s="12">
        <v>1</v>
      </c>
      <c r="F5" s="10">
        <f t="shared" si="0"/>
        <v>11</v>
      </c>
      <c r="G5" s="10">
        <f t="shared" si="1"/>
        <v>1</v>
      </c>
      <c r="H5" s="16">
        <f t="shared" si="2"/>
        <v>1</v>
      </c>
    </row>
    <row r="6" spans="1:8" x14ac:dyDescent="0.25">
      <c r="A6" s="20" t="s">
        <v>101</v>
      </c>
      <c r="B6" s="12"/>
      <c r="C6" s="12"/>
      <c r="D6" s="11">
        <v>24</v>
      </c>
      <c r="E6" s="12">
        <v>0</v>
      </c>
      <c r="F6" s="10">
        <f t="shared" si="0"/>
        <v>24</v>
      </c>
      <c r="G6" s="10">
        <f t="shared" si="1"/>
        <v>0</v>
      </c>
      <c r="H6" s="16">
        <f t="shared" si="2"/>
        <v>0</v>
      </c>
    </row>
    <row r="7" spans="1:8" x14ac:dyDescent="0.25">
      <c r="A7" s="20" t="s">
        <v>102</v>
      </c>
      <c r="B7" s="12"/>
      <c r="C7" s="12"/>
      <c r="D7" s="12"/>
      <c r="E7" s="12"/>
      <c r="F7" s="10"/>
      <c r="G7" s="10"/>
      <c r="H7" s="16"/>
    </row>
    <row r="8" spans="1:8" x14ac:dyDescent="0.25">
      <c r="A8" s="10" t="s">
        <v>28</v>
      </c>
      <c r="B8" s="12"/>
      <c r="C8" s="12"/>
      <c r="D8" s="12"/>
      <c r="E8" s="12"/>
      <c r="F8" s="10">
        <f>B8+D8</f>
        <v>0</v>
      </c>
      <c r="G8" s="10">
        <f>C8+E8</f>
        <v>0</v>
      </c>
      <c r="H8" s="16">
        <f>IFERROR(E8/G8,0)</f>
        <v>0</v>
      </c>
    </row>
    <row r="9" spans="1:8" x14ac:dyDescent="0.25">
      <c r="A9" s="10" t="s">
        <v>29</v>
      </c>
      <c r="B9" s="12"/>
      <c r="C9" s="12"/>
      <c r="D9" s="12"/>
      <c r="E9" s="12"/>
      <c r="F9" s="10">
        <f t="shared" ref="F9:F18" si="3">B9+D9</f>
        <v>0</v>
      </c>
      <c r="G9" s="10">
        <f t="shared" ref="G9:G18" si="4">C9+E9</f>
        <v>0</v>
      </c>
      <c r="H9" s="16">
        <f t="shared" ref="H9:H19" si="5">IFERROR(E9/G9,0)</f>
        <v>0</v>
      </c>
    </row>
    <row r="10" spans="1:8" x14ac:dyDescent="0.25">
      <c r="A10" s="10" t="s">
        <v>30</v>
      </c>
      <c r="B10" s="12"/>
      <c r="C10" s="12"/>
      <c r="D10" s="12"/>
      <c r="E10" s="12"/>
      <c r="F10" s="10">
        <f t="shared" si="3"/>
        <v>0</v>
      </c>
      <c r="G10" s="10">
        <f t="shared" si="4"/>
        <v>0</v>
      </c>
      <c r="H10" s="16">
        <f t="shared" si="5"/>
        <v>0</v>
      </c>
    </row>
    <row r="11" spans="1:8" x14ac:dyDescent="0.25">
      <c r="A11" s="10" t="s">
        <v>31</v>
      </c>
      <c r="B11" s="12"/>
      <c r="C11" s="12"/>
      <c r="D11" s="12"/>
      <c r="E11" s="12"/>
      <c r="F11" s="10">
        <f t="shared" si="3"/>
        <v>0</v>
      </c>
      <c r="G11" s="10">
        <f t="shared" si="4"/>
        <v>0</v>
      </c>
      <c r="H11" s="16">
        <f t="shared" si="5"/>
        <v>0</v>
      </c>
    </row>
    <row r="12" spans="1:8" x14ac:dyDescent="0.25">
      <c r="A12" s="10" t="s">
        <v>32</v>
      </c>
      <c r="B12" s="12"/>
      <c r="C12" s="12"/>
      <c r="D12" s="12"/>
      <c r="E12" s="12"/>
      <c r="F12" s="10">
        <f t="shared" si="3"/>
        <v>0</v>
      </c>
      <c r="G12" s="10">
        <f t="shared" si="4"/>
        <v>0</v>
      </c>
      <c r="H12" s="16">
        <f t="shared" si="5"/>
        <v>0</v>
      </c>
    </row>
    <row r="13" spans="1:8" x14ac:dyDescent="0.25">
      <c r="A13" s="10" t="s">
        <v>33</v>
      </c>
      <c r="B13" s="12"/>
      <c r="C13" s="12"/>
      <c r="D13" s="12"/>
      <c r="E13" s="12"/>
      <c r="F13" s="10">
        <f t="shared" si="3"/>
        <v>0</v>
      </c>
      <c r="G13" s="10">
        <f t="shared" si="4"/>
        <v>0</v>
      </c>
      <c r="H13" s="16">
        <f t="shared" si="5"/>
        <v>0</v>
      </c>
    </row>
    <row r="14" spans="1:8" x14ac:dyDescent="0.25">
      <c r="A14" s="10" t="s">
        <v>34</v>
      </c>
      <c r="B14" s="12"/>
      <c r="C14" s="12"/>
      <c r="D14" s="12"/>
      <c r="E14" s="12"/>
      <c r="F14" s="10">
        <f t="shared" si="3"/>
        <v>0</v>
      </c>
      <c r="G14" s="10">
        <f t="shared" si="4"/>
        <v>0</v>
      </c>
      <c r="H14" s="16">
        <f t="shared" si="5"/>
        <v>0</v>
      </c>
    </row>
    <row r="15" spans="1:8" x14ac:dyDescent="0.25">
      <c r="A15" s="10" t="s">
        <v>35</v>
      </c>
      <c r="B15" s="12"/>
      <c r="C15" s="12"/>
      <c r="D15" s="12"/>
      <c r="E15" s="12"/>
      <c r="F15" s="10">
        <f t="shared" si="3"/>
        <v>0</v>
      </c>
      <c r="G15" s="10">
        <f t="shared" si="4"/>
        <v>0</v>
      </c>
      <c r="H15" s="16">
        <f t="shared" si="5"/>
        <v>0</v>
      </c>
    </row>
    <row r="16" spans="1:8" x14ac:dyDescent="0.25">
      <c r="A16" s="10" t="s">
        <v>36</v>
      </c>
      <c r="B16" s="12"/>
      <c r="C16" s="12"/>
      <c r="D16" s="12"/>
      <c r="E16" s="12"/>
      <c r="F16" s="10">
        <f t="shared" si="3"/>
        <v>0</v>
      </c>
      <c r="G16" s="10">
        <f t="shared" si="4"/>
        <v>0</v>
      </c>
      <c r="H16" s="16">
        <f t="shared" si="5"/>
        <v>0</v>
      </c>
    </row>
    <row r="17" spans="1:8" x14ac:dyDescent="0.25">
      <c r="A17" s="10" t="s">
        <v>37</v>
      </c>
      <c r="B17" s="12"/>
      <c r="C17" s="12"/>
      <c r="D17" s="12"/>
      <c r="E17" s="12"/>
      <c r="F17" s="10">
        <f t="shared" si="3"/>
        <v>0</v>
      </c>
      <c r="G17" s="10">
        <f t="shared" si="4"/>
        <v>0</v>
      </c>
      <c r="H17" s="16">
        <f t="shared" si="5"/>
        <v>0</v>
      </c>
    </row>
    <row r="18" spans="1:8" x14ac:dyDescent="0.25">
      <c r="A18" s="10" t="s">
        <v>38</v>
      </c>
      <c r="B18" s="12"/>
      <c r="C18" s="12"/>
      <c r="D18" s="12"/>
      <c r="E18" s="12"/>
      <c r="F18" s="10">
        <f t="shared" si="3"/>
        <v>0</v>
      </c>
      <c r="G18" s="10">
        <f t="shared" si="4"/>
        <v>0</v>
      </c>
      <c r="H18" s="16">
        <f t="shared" si="5"/>
        <v>0</v>
      </c>
    </row>
    <row r="19" spans="1:8" x14ac:dyDescent="0.25">
      <c r="A19" s="14" t="s">
        <v>39</v>
      </c>
      <c r="B19" s="14">
        <f>SUM(B5:B18)</f>
        <v>0</v>
      </c>
      <c r="C19" s="14">
        <f>SUM(C5:C18)</f>
        <v>0</v>
      </c>
      <c r="D19" s="14">
        <f>SUM(D5:D18)</f>
        <v>35</v>
      </c>
      <c r="E19" s="14">
        <f>SUM(E5:E18)</f>
        <v>1</v>
      </c>
      <c r="F19" s="14">
        <f>SUM(F5:F18)</f>
        <v>35</v>
      </c>
      <c r="G19" s="14">
        <f>SUM(G5:G18)</f>
        <v>1</v>
      </c>
      <c r="H19" s="17">
        <f t="shared" si="5"/>
        <v>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K34"/>
    </sheetView>
  </sheetViews>
  <sheetFormatPr defaultColWidth="8.7109375" defaultRowHeight="15" x14ac:dyDescent="0.25"/>
  <cols>
    <col min="1" max="1" width="20" customWidth="1"/>
    <col min="2" max="2" width="12" customWidth="1"/>
    <col min="3" max="3" width="13" customWidth="1"/>
    <col min="4" max="4" width="10" customWidth="1"/>
    <col min="5" max="5" width="13" customWidth="1"/>
    <col min="6" max="6" width="15" customWidth="1"/>
    <col min="7" max="7" width="11" customWidth="1"/>
    <col min="8" max="8" width="13" customWidth="1"/>
    <col min="9" max="9" width="11" customWidth="1"/>
    <col min="10" max="10" width="21.7109375" customWidth="1"/>
    <col min="11" max="11" width="26.7109375" customWidth="1"/>
  </cols>
  <sheetData>
    <row r="1" spans="1:11" ht="21.75" customHeight="1" x14ac:dyDescent="0.2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45.75" customHeight="1" x14ac:dyDescent="0.25">
      <c r="A3" s="9" t="s">
        <v>19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57</v>
      </c>
      <c r="K3" s="9" t="s">
        <v>58</v>
      </c>
    </row>
    <row r="4" spans="1:11" x14ac:dyDescent="0.25">
      <c r="A4" t="s">
        <v>103</v>
      </c>
      <c r="B4">
        <v>119107</v>
      </c>
      <c r="C4">
        <v>1601</v>
      </c>
      <c r="D4" s="13">
        <f t="shared" ref="D4:D22" si="0">IFERROR(C4/B4,0)</f>
        <v>1.3441695282393142E-2</v>
      </c>
      <c r="E4">
        <v>367146</v>
      </c>
      <c r="F4">
        <v>1604</v>
      </c>
      <c r="G4" s="13">
        <f t="shared" ref="G4:G22" si="1">IFERROR(F4/E4,0)</f>
        <v>4.368834196750067E-3</v>
      </c>
      <c r="K4" t="s">
        <v>113</v>
      </c>
    </row>
    <row r="5" spans="1:11" x14ac:dyDescent="0.25">
      <c r="A5" s="10" t="s">
        <v>104</v>
      </c>
      <c r="B5" s="12">
        <v>73001</v>
      </c>
      <c r="C5" s="12">
        <v>489</v>
      </c>
      <c r="D5" s="13">
        <f t="shared" si="0"/>
        <v>6.6985383761866274E-3</v>
      </c>
      <c r="E5" s="12">
        <v>258031</v>
      </c>
      <c r="F5" s="12">
        <v>488</v>
      </c>
      <c r="G5" s="13">
        <f t="shared" si="1"/>
        <v>1.8912456255256152E-3</v>
      </c>
      <c r="H5" s="12"/>
      <c r="I5" s="12"/>
      <c r="J5" s="12"/>
      <c r="K5" t="s">
        <v>113</v>
      </c>
    </row>
    <row r="6" spans="1:11" x14ac:dyDescent="0.25">
      <c r="A6" s="10" t="s">
        <v>105</v>
      </c>
      <c r="B6" s="12">
        <v>56219</v>
      </c>
      <c r="C6" s="12">
        <v>350</v>
      </c>
      <c r="D6" s="13">
        <f t="shared" si="0"/>
        <v>6.2256532489016166E-3</v>
      </c>
      <c r="E6" s="12">
        <v>201989</v>
      </c>
      <c r="F6" s="12">
        <v>441</v>
      </c>
      <c r="G6" s="13">
        <f t="shared" si="1"/>
        <v>2.1832872087093852E-3</v>
      </c>
      <c r="H6" s="12"/>
      <c r="I6" s="12"/>
      <c r="J6" s="12"/>
      <c r="K6" t="s">
        <v>113</v>
      </c>
    </row>
    <row r="7" spans="1:11" x14ac:dyDescent="0.25">
      <c r="A7" s="10" t="s">
        <v>106</v>
      </c>
      <c r="B7" s="12">
        <v>77034</v>
      </c>
      <c r="C7" s="12">
        <v>1427</v>
      </c>
      <c r="D7" s="13">
        <f t="shared" si="0"/>
        <v>1.8524287976737545E-2</v>
      </c>
      <c r="E7" s="12">
        <v>296776</v>
      </c>
      <c r="F7" s="12">
        <v>1585</v>
      </c>
      <c r="G7" s="13">
        <f t="shared" si="1"/>
        <v>5.3407283607838909E-3</v>
      </c>
      <c r="H7" s="12"/>
      <c r="I7" s="12"/>
      <c r="J7" s="12"/>
      <c r="K7" t="s">
        <v>113</v>
      </c>
    </row>
    <row r="8" spans="1:11" x14ac:dyDescent="0.25">
      <c r="A8" s="10" t="s">
        <v>107</v>
      </c>
      <c r="B8" s="12">
        <v>10020</v>
      </c>
      <c r="C8" s="12">
        <v>85</v>
      </c>
      <c r="D8" s="13">
        <f t="shared" si="0"/>
        <v>8.4830339321357289E-3</v>
      </c>
      <c r="E8" s="12">
        <v>31945</v>
      </c>
      <c r="F8" s="12">
        <v>89</v>
      </c>
      <c r="G8" s="13">
        <f t="shared" si="1"/>
        <v>2.786038503678197E-3</v>
      </c>
      <c r="H8" s="12"/>
      <c r="I8" s="12"/>
      <c r="J8" s="12"/>
      <c r="K8" t="s">
        <v>113</v>
      </c>
    </row>
    <row r="9" spans="1:11" x14ac:dyDescent="0.25">
      <c r="A9" s="10" t="s">
        <v>108</v>
      </c>
      <c r="B9" s="12">
        <v>19197</v>
      </c>
      <c r="C9" s="12">
        <v>143</v>
      </c>
      <c r="D9" s="13">
        <f t="shared" si="0"/>
        <v>7.4490805855081527E-3</v>
      </c>
      <c r="E9" s="12">
        <v>79404</v>
      </c>
      <c r="F9" s="12">
        <v>143</v>
      </c>
      <c r="G9" s="13">
        <f t="shared" si="1"/>
        <v>1.8009168303863784E-3</v>
      </c>
      <c r="H9" s="12"/>
      <c r="I9" s="12"/>
      <c r="J9" s="12"/>
      <c r="K9" t="s">
        <v>113</v>
      </c>
    </row>
    <row r="10" spans="1:11" x14ac:dyDescent="0.25">
      <c r="A10" s="10" t="s">
        <v>37</v>
      </c>
      <c r="B10" s="12">
        <v>64870</v>
      </c>
      <c r="C10" s="12">
        <v>852</v>
      </c>
      <c r="D10" s="13">
        <f t="shared" si="0"/>
        <v>1.3133960228148604E-2</v>
      </c>
      <c r="E10" s="12">
        <v>149752</v>
      </c>
      <c r="F10" s="12">
        <v>911</v>
      </c>
      <c r="G10" s="13">
        <f t="shared" si="1"/>
        <v>6.0833912067952351E-3</v>
      </c>
      <c r="H10" s="12"/>
      <c r="I10" s="12"/>
      <c r="J10" s="12"/>
      <c r="K10" t="s">
        <v>113</v>
      </c>
    </row>
    <row r="11" spans="1:11" x14ac:dyDescent="0.25">
      <c r="A11" s="10" t="s">
        <v>34</v>
      </c>
      <c r="B11" s="12">
        <v>104070</v>
      </c>
      <c r="C11" s="12">
        <v>417</v>
      </c>
      <c r="D11" s="13">
        <f t="shared" si="0"/>
        <v>4.006918420294033E-3</v>
      </c>
      <c r="E11" s="12">
        <v>174527</v>
      </c>
      <c r="F11" s="12">
        <v>417</v>
      </c>
      <c r="G11" s="13">
        <f t="shared" si="1"/>
        <v>2.389315120296573E-3</v>
      </c>
      <c r="H11" s="12"/>
      <c r="I11" s="12"/>
      <c r="J11" s="12"/>
      <c r="K11" t="s">
        <v>113</v>
      </c>
    </row>
    <row r="12" spans="1:11" x14ac:dyDescent="0.25">
      <c r="A12" s="10" t="s">
        <v>32</v>
      </c>
      <c r="B12" s="12">
        <v>56703</v>
      </c>
      <c r="C12" s="12">
        <v>710</v>
      </c>
      <c r="D12" s="13">
        <f t="shared" si="0"/>
        <v>1.2521383348323721E-2</v>
      </c>
      <c r="E12" s="12">
        <v>155086</v>
      </c>
      <c r="F12" s="12">
        <v>801</v>
      </c>
      <c r="G12" s="13">
        <f t="shared" si="1"/>
        <v>5.1648762622029066E-3</v>
      </c>
      <c r="H12" s="12"/>
      <c r="I12" s="12"/>
      <c r="J12" s="12"/>
      <c r="K12" t="s">
        <v>113</v>
      </c>
    </row>
    <row r="13" spans="1:11" ht="39" x14ac:dyDescent="0.25">
      <c r="A13" s="10" t="s">
        <v>109</v>
      </c>
      <c r="B13" s="12">
        <v>124629</v>
      </c>
      <c r="C13" s="12">
        <v>5572</v>
      </c>
      <c r="D13" s="13">
        <f t="shared" si="0"/>
        <v>4.4708695407970858E-2</v>
      </c>
      <c r="E13" s="12">
        <v>658277</v>
      </c>
      <c r="F13" s="12">
        <v>6740</v>
      </c>
      <c r="G13" s="13">
        <f t="shared" si="1"/>
        <v>1.023885081812064E-2</v>
      </c>
      <c r="H13" s="12"/>
      <c r="I13" s="12">
        <v>12</v>
      </c>
      <c r="J13" s="22" t="s">
        <v>114</v>
      </c>
      <c r="K13" t="s">
        <v>113</v>
      </c>
    </row>
    <row r="14" spans="1:11" x14ac:dyDescent="0.25">
      <c r="A14" s="10" t="s">
        <v>33</v>
      </c>
      <c r="B14" s="12">
        <v>19720</v>
      </c>
      <c r="C14" s="12">
        <v>365</v>
      </c>
      <c r="D14" s="13">
        <f t="shared" si="0"/>
        <v>1.8509127789046655E-2</v>
      </c>
      <c r="E14" s="12">
        <v>124192</v>
      </c>
      <c r="F14" s="12">
        <v>365</v>
      </c>
      <c r="G14" s="13">
        <f t="shared" si="1"/>
        <v>2.9389976810100488E-3</v>
      </c>
      <c r="H14" s="12"/>
      <c r="I14" s="12"/>
      <c r="J14" s="21" t="s">
        <v>113</v>
      </c>
      <c r="K14" s="12"/>
    </row>
    <row r="15" spans="1:11" x14ac:dyDescent="0.25">
      <c r="A15" s="10" t="s">
        <v>28</v>
      </c>
      <c r="B15" s="12">
        <v>12879</v>
      </c>
      <c r="C15" s="12">
        <v>68</v>
      </c>
      <c r="D15" s="13">
        <f t="shared" si="0"/>
        <v>5.2799130367264541E-3</v>
      </c>
      <c r="E15" s="12">
        <v>35835</v>
      </c>
      <c r="F15" s="12">
        <v>71</v>
      </c>
      <c r="G15" s="13">
        <f t="shared" si="1"/>
        <v>1.9813031952002234E-3</v>
      </c>
      <c r="H15" s="12"/>
      <c r="I15" s="12"/>
      <c r="J15" s="21" t="s">
        <v>113</v>
      </c>
      <c r="K15" s="12"/>
    </row>
    <row r="16" spans="1:11" x14ac:dyDescent="0.25">
      <c r="A16" s="10" t="s">
        <v>110</v>
      </c>
      <c r="B16" s="12">
        <v>4529</v>
      </c>
      <c r="C16" s="12">
        <v>118</v>
      </c>
      <c r="D16" s="13">
        <f t="shared" si="0"/>
        <v>2.6054316626186798E-2</v>
      </c>
      <c r="E16" s="12">
        <v>20420</v>
      </c>
      <c r="F16" s="12">
        <v>152</v>
      </c>
      <c r="G16" s="13">
        <f t="shared" si="1"/>
        <v>7.4436826640548485E-3</v>
      </c>
      <c r="H16" s="12"/>
      <c r="I16" s="12"/>
      <c r="J16" s="21" t="s">
        <v>113</v>
      </c>
      <c r="K16" s="12"/>
    </row>
    <row r="17" spans="1:11" x14ac:dyDescent="0.25">
      <c r="A17" s="10" t="s">
        <v>29</v>
      </c>
      <c r="B17" s="12">
        <v>4121</v>
      </c>
      <c r="C17" s="12">
        <v>31</v>
      </c>
      <c r="D17" s="13">
        <f t="shared" si="0"/>
        <v>7.522446008250425E-3</v>
      </c>
      <c r="E17" s="12">
        <v>24632</v>
      </c>
      <c r="F17" s="12">
        <v>32</v>
      </c>
      <c r="G17" s="13">
        <f t="shared" si="1"/>
        <v>1.2991230919129587E-3</v>
      </c>
      <c r="H17" s="12"/>
      <c r="I17" s="12"/>
      <c r="J17" s="21" t="s">
        <v>113</v>
      </c>
      <c r="K17" s="12"/>
    </row>
    <row r="18" spans="1:11" x14ac:dyDescent="0.25">
      <c r="A18" s="10" t="s">
        <v>36</v>
      </c>
      <c r="B18" s="12">
        <v>9023</v>
      </c>
      <c r="C18" s="12">
        <v>337</v>
      </c>
      <c r="D18" s="13">
        <f t="shared" si="0"/>
        <v>3.7348997007647121E-2</v>
      </c>
      <c r="E18" s="12">
        <v>29353</v>
      </c>
      <c r="F18" s="12">
        <v>347</v>
      </c>
      <c r="G18" s="13">
        <f t="shared" si="1"/>
        <v>1.1821619595952713E-2</v>
      </c>
      <c r="H18" s="12"/>
      <c r="I18" s="12"/>
      <c r="J18" s="21" t="s">
        <v>113</v>
      </c>
      <c r="K18" s="12"/>
    </row>
    <row r="19" spans="1:11" x14ac:dyDescent="0.25">
      <c r="A19" s="10" t="s">
        <v>35</v>
      </c>
      <c r="B19" s="12">
        <v>4269</v>
      </c>
      <c r="C19" s="12">
        <v>139</v>
      </c>
      <c r="D19" s="13">
        <f t="shared" si="0"/>
        <v>3.2560318575778874E-2</v>
      </c>
      <c r="E19" s="12">
        <v>42846</v>
      </c>
      <c r="F19" s="12">
        <v>139</v>
      </c>
      <c r="G19" s="13">
        <f t="shared" si="1"/>
        <v>3.2441768193063529E-3</v>
      </c>
      <c r="H19" s="12"/>
      <c r="I19" s="12"/>
      <c r="J19" s="21" t="s">
        <v>113</v>
      </c>
      <c r="K19" s="12"/>
    </row>
    <row r="20" spans="1:11" x14ac:dyDescent="0.25">
      <c r="A20" s="10" t="s">
        <v>34</v>
      </c>
      <c r="B20" s="12">
        <v>17977</v>
      </c>
      <c r="C20" s="12">
        <v>337</v>
      </c>
      <c r="D20" s="13">
        <f t="shared" si="0"/>
        <v>1.8746175668910275E-2</v>
      </c>
      <c r="E20" s="12">
        <v>93919</v>
      </c>
      <c r="F20" s="12">
        <v>338</v>
      </c>
      <c r="G20" s="13">
        <f t="shared" si="1"/>
        <v>3.5988458139460601E-3</v>
      </c>
      <c r="H20" s="12"/>
      <c r="I20" s="12"/>
      <c r="J20" s="21" t="s">
        <v>113</v>
      </c>
      <c r="K20" s="12"/>
    </row>
    <row r="21" spans="1:11" x14ac:dyDescent="0.25">
      <c r="A21" s="10" t="s">
        <v>111</v>
      </c>
      <c r="B21" s="12">
        <v>10587</v>
      </c>
      <c r="C21" s="12">
        <v>241</v>
      </c>
      <c r="D21" s="13">
        <f t="shared" si="0"/>
        <v>2.2763766883914235E-2</v>
      </c>
      <c r="E21" s="12">
        <v>30678</v>
      </c>
      <c r="F21" s="12">
        <v>264</v>
      </c>
      <c r="G21" s="13">
        <f t="shared" si="1"/>
        <v>8.6055153530217102E-3</v>
      </c>
      <c r="H21" s="12"/>
      <c r="I21" s="12"/>
      <c r="J21" s="21" t="s">
        <v>113</v>
      </c>
      <c r="K21" s="12"/>
    </row>
    <row r="22" spans="1:11" x14ac:dyDescent="0.25">
      <c r="A22" s="10" t="s">
        <v>112</v>
      </c>
      <c r="B22" s="12">
        <v>14644</v>
      </c>
      <c r="C22" s="12">
        <v>732</v>
      </c>
      <c r="D22" s="13">
        <f t="shared" si="0"/>
        <v>4.9986342529363563E-2</v>
      </c>
      <c r="E22" s="12">
        <v>51213</v>
      </c>
      <c r="F22" s="12">
        <v>773</v>
      </c>
      <c r="G22" s="13">
        <f t="shared" si="1"/>
        <v>1.5093823833792201E-2</v>
      </c>
      <c r="H22" s="12"/>
      <c r="I22" s="12"/>
      <c r="J22" s="21" t="s">
        <v>113</v>
      </c>
      <c r="K22" s="12"/>
    </row>
    <row r="23" spans="1:11" x14ac:dyDescent="0.25">
      <c r="A23" s="10" t="s">
        <v>28</v>
      </c>
      <c r="B23" s="12"/>
      <c r="C23" s="12"/>
      <c r="D23" s="13">
        <f>IFERROR(C23/B23,0)</f>
        <v>0</v>
      </c>
      <c r="E23" s="12"/>
      <c r="F23" s="12"/>
      <c r="G23" s="13">
        <f>IFERROR(F23/E23,0)</f>
        <v>0</v>
      </c>
      <c r="H23" s="12"/>
      <c r="I23" s="12"/>
      <c r="J23" s="12"/>
      <c r="K23" s="12"/>
    </row>
    <row r="24" spans="1:11" x14ac:dyDescent="0.25">
      <c r="A24" s="10" t="s">
        <v>29</v>
      </c>
      <c r="B24" s="12"/>
      <c r="C24" s="12"/>
      <c r="D24" s="13">
        <f t="shared" ref="D24:D34" si="2">IFERROR(C24/B24,0)</f>
        <v>0</v>
      </c>
      <c r="E24" s="12"/>
      <c r="F24" s="12"/>
      <c r="G24" s="13">
        <f t="shared" ref="G24:G34" si="3">IFERROR(F24/E24,0)</f>
        <v>0</v>
      </c>
      <c r="H24" s="12"/>
      <c r="I24" s="12"/>
      <c r="J24" s="12"/>
      <c r="K24" s="12"/>
    </row>
    <row r="25" spans="1:11" x14ac:dyDescent="0.25">
      <c r="A25" s="10" t="s">
        <v>30</v>
      </c>
      <c r="B25" s="12"/>
      <c r="C25" s="12"/>
      <c r="D25" s="13">
        <f t="shared" si="2"/>
        <v>0</v>
      </c>
      <c r="E25" s="12"/>
      <c r="F25" s="12"/>
      <c r="G25" s="13">
        <f t="shared" si="3"/>
        <v>0</v>
      </c>
      <c r="H25" s="12"/>
      <c r="I25" s="12"/>
      <c r="J25" s="12"/>
      <c r="K25" s="12"/>
    </row>
    <row r="26" spans="1:11" x14ac:dyDescent="0.25">
      <c r="A26" s="10" t="s">
        <v>31</v>
      </c>
      <c r="B26" s="12"/>
      <c r="C26" s="12"/>
      <c r="D26" s="13">
        <f t="shared" si="2"/>
        <v>0</v>
      </c>
      <c r="E26" s="12"/>
      <c r="F26" s="12"/>
      <c r="G26" s="13">
        <f t="shared" si="3"/>
        <v>0</v>
      </c>
      <c r="H26" s="12"/>
      <c r="I26" s="12"/>
      <c r="J26" s="12"/>
      <c r="K26" s="12"/>
    </row>
    <row r="27" spans="1:11" x14ac:dyDescent="0.25">
      <c r="A27" s="10" t="s">
        <v>32</v>
      </c>
      <c r="B27" s="12"/>
      <c r="C27" s="12"/>
      <c r="D27" s="13">
        <f t="shared" si="2"/>
        <v>0</v>
      </c>
      <c r="E27" s="12"/>
      <c r="F27" s="12"/>
      <c r="G27" s="13">
        <f t="shared" si="3"/>
        <v>0</v>
      </c>
      <c r="H27" s="12"/>
      <c r="I27" s="12"/>
      <c r="J27" s="12"/>
      <c r="K27" s="12"/>
    </row>
    <row r="28" spans="1:11" x14ac:dyDescent="0.25">
      <c r="A28" s="10" t="s">
        <v>33</v>
      </c>
      <c r="B28" s="12"/>
      <c r="C28" s="12"/>
      <c r="D28" s="13">
        <f t="shared" si="2"/>
        <v>0</v>
      </c>
      <c r="E28" s="12"/>
      <c r="F28" s="12"/>
      <c r="G28" s="13">
        <f t="shared" si="3"/>
        <v>0</v>
      </c>
      <c r="H28" s="12"/>
      <c r="I28" s="12"/>
      <c r="J28" s="12"/>
      <c r="K28" s="12"/>
    </row>
    <row r="29" spans="1:11" x14ac:dyDescent="0.25">
      <c r="A29" s="10" t="s">
        <v>34</v>
      </c>
      <c r="B29" s="12"/>
      <c r="C29" s="12"/>
      <c r="D29" s="13">
        <f t="shared" si="2"/>
        <v>0</v>
      </c>
      <c r="E29" s="12"/>
      <c r="F29" s="12"/>
      <c r="G29" s="13">
        <f t="shared" si="3"/>
        <v>0</v>
      </c>
      <c r="H29" s="12"/>
      <c r="I29" s="12"/>
      <c r="J29" s="12"/>
      <c r="K29" s="12"/>
    </row>
    <row r="30" spans="1:11" x14ac:dyDescent="0.25">
      <c r="A30" s="10" t="s">
        <v>35</v>
      </c>
      <c r="B30" s="12"/>
      <c r="C30" s="12"/>
      <c r="D30" s="13">
        <f t="shared" si="2"/>
        <v>0</v>
      </c>
      <c r="E30" s="12"/>
      <c r="F30" s="12"/>
      <c r="G30" s="13">
        <f t="shared" si="3"/>
        <v>0</v>
      </c>
      <c r="H30" s="12"/>
      <c r="I30" s="12"/>
      <c r="J30" s="12"/>
      <c r="K30" s="12"/>
    </row>
    <row r="31" spans="1:11" x14ac:dyDescent="0.25">
      <c r="A31" s="10" t="s">
        <v>36</v>
      </c>
      <c r="B31" s="12"/>
      <c r="C31" s="12"/>
      <c r="D31" s="13">
        <f t="shared" si="2"/>
        <v>0</v>
      </c>
      <c r="E31" s="12"/>
      <c r="F31" s="12"/>
      <c r="G31" s="13">
        <f t="shared" si="3"/>
        <v>0</v>
      </c>
      <c r="H31" s="12"/>
      <c r="I31" s="12"/>
      <c r="J31" s="12"/>
      <c r="K31" s="12"/>
    </row>
    <row r="32" spans="1:11" x14ac:dyDescent="0.25">
      <c r="A32" s="10" t="s">
        <v>37</v>
      </c>
      <c r="B32" s="12"/>
      <c r="C32" s="12"/>
      <c r="D32" s="13">
        <f t="shared" si="2"/>
        <v>0</v>
      </c>
      <c r="E32" s="12"/>
      <c r="F32" s="12"/>
      <c r="G32" s="13">
        <f t="shared" si="3"/>
        <v>0</v>
      </c>
      <c r="H32" s="12"/>
      <c r="I32" s="12"/>
      <c r="J32" s="12"/>
      <c r="K32" s="12"/>
    </row>
    <row r="33" spans="1:11" x14ac:dyDescent="0.25">
      <c r="A33" s="10" t="s">
        <v>38</v>
      </c>
      <c r="B33" s="12"/>
      <c r="C33" s="12"/>
      <c r="D33" s="13">
        <f t="shared" si="2"/>
        <v>0</v>
      </c>
      <c r="E33" s="12"/>
      <c r="F33" s="12"/>
      <c r="G33" s="13">
        <f t="shared" si="3"/>
        <v>0</v>
      </c>
      <c r="H33" s="12"/>
      <c r="I33" s="12"/>
      <c r="J33" s="12"/>
      <c r="K33" s="12"/>
    </row>
    <row r="34" spans="1:11" x14ac:dyDescent="0.25">
      <c r="A34" s="14" t="s">
        <v>39</v>
      </c>
      <c r="B34" s="14">
        <f>SUM(B5:B33)</f>
        <v>683492</v>
      </c>
      <c r="C34" s="14">
        <f>SUM(C5:C33)</f>
        <v>12413</v>
      </c>
      <c r="D34" s="15">
        <f t="shared" si="2"/>
        <v>1.8161148923469476E-2</v>
      </c>
      <c r="E34" s="14">
        <f>SUM(E5:E33)</f>
        <v>2458875</v>
      </c>
      <c r="F34" s="14">
        <f>SUM(F5:F33)</f>
        <v>14096</v>
      </c>
      <c r="G34" s="15">
        <f t="shared" si="3"/>
        <v>5.7327029637537488E-3</v>
      </c>
      <c r="H34" s="14">
        <f>SUM(H5:H33)</f>
        <v>0</v>
      </c>
      <c r="I34" s="14">
        <f>SUM(I5:I33)</f>
        <v>12</v>
      </c>
      <c r="J34" s="14"/>
      <c r="K34" s="14"/>
    </row>
  </sheetData>
  <mergeCells count="2">
    <mergeCell ref="A1:K1"/>
    <mergeCell ref="A2:K2"/>
  </mergeCells>
  <dataValidations count="1">
    <dataValidation type="list" allowBlank="1" sqref="K14:K33 J5:J33">
      <formula1>"Y,Not Regularly,N"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1" sqref="C21"/>
    </sheetView>
  </sheetViews>
  <sheetFormatPr defaultColWidth="8.7109375" defaultRowHeight="15" x14ac:dyDescent="0.25"/>
  <cols>
    <col min="1" max="1" width="20" customWidth="1"/>
    <col min="2" max="2" width="14.85546875" customWidth="1"/>
    <col min="3" max="3" width="19.140625" customWidth="1"/>
    <col min="4" max="4" width="13.7109375" customWidth="1"/>
    <col min="5" max="5" width="17" customWidth="1"/>
    <col min="6" max="6" width="18.28515625" customWidth="1"/>
    <col min="7" max="7" width="11" customWidth="1"/>
    <col min="8" max="8" width="12.5703125" customWidth="1"/>
    <col min="9" max="9" width="12" customWidth="1"/>
    <col min="10" max="10" width="11" customWidth="1"/>
  </cols>
  <sheetData>
    <row r="1" spans="1:10" ht="21.75" customHeight="1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</row>
    <row r="3" spans="1:10" ht="39.75" customHeight="1" x14ac:dyDescent="0.25">
      <c r="A3" s="32" t="s">
        <v>19</v>
      </c>
      <c r="B3" s="32" t="s">
        <v>60</v>
      </c>
      <c r="C3" s="32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</row>
    <row r="4" spans="1:10" x14ac:dyDescent="0.25">
      <c r="A4" s="33" t="s">
        <v>32</v>
      </c>
      <c r="B4" s="39"/>
      <c r="C4" s="39"/>
      <c r="D4" s="38">
        <f t="shared" ref="D4:D6" si="0">IFERROR(C4/B4,0)</f>
        <v>0</v>
      </c>
      <c r="E4" s="36">
        <v>199</v>
      </c>
      <c r="F4" s="33">
        <v>5</v>
      </c>
      <c r="G4" s="13">
        <f t="shared" ref="G4:G22" si="1">IFERROR(F4/E4,0)</f>
        <v>2.5125628140703519E-2</v>
      </c>
      <c r="H4" s="36">
        <v>0</v>
      </c>
      <c r="I4" s="36">
        <v>0</v>
      </c>
      <c r="J4" s="37">
        <f t="shared" ref="J4:J22" si="2">IFERROR(I4/H4,0)</f>
        <v>0</v>
      </c>
    </row>
    <row r="5" spans="1:10" x14ac:dyDescent="0.25">
      <c r="A5" s="34" t="s">
        <v>108</v>
      </c>
      <c r="B5" s="39"/>
      <c r="C5" s="39"/>
      <c r="D5" s="38">
        <f t="shared" si="0"/>
        <v>0</v>
      </c>
      <c r="E5" s="36">
        <v>200</v>
      </c>
      <c r="F5" s="34">
        <v>3</v>
      </c>
      <c r="G5" s="13">
        <f t="shared" si="1"/>
        <v>1.4999999999999999E-2</v>
      </c>
      <c r="H5" s="36">
        <v>0</v>
      </c>
      <c r="I5" s="36">
        <v>0</v>
      </c>
      <c r="J5" s="37">
        <f t="shared" si="2"/>
        <v>0</v>
      </c>
    </row>
    <row r="6" spans="1:10" x14ac:dyDescent="0.25">
      <c r="A6" s="33" t="s">
        <v>106</v>
      </c>
      <c r="B6" s="39"/>
      <c r="C6" s="39"/>
      <c r="D6" s="38">
        <f t="shared" si="0"/>
        <v>0</v>
      </c>
      <c r="E6" s="36">
        <v>191</v>
      </c>
      <c r="F6" s="33">
        <v>0</v>
      </c>
      <c r="G6" s="13">
        <f t="shared" si="1"/>
        <v>0</v>
      </c>
      <c r="H6" s="36">
        <v>0</v>
      </c>
      <c r="I6" s="36">
        <v>0</v>
      </c>
      <c r="J6" s="37">
        <f t="shared" si="2"/>
        <v>0</v>
      </c>
    </row>
    <row r="7" spans="1:10" x14ac:dyDescent="0.25">
      <c r="A7" s="34" t="s">
        <v>37</v>
      </c>
      <c r="B7" s="39"/>
      <c r="C7" s="39"/>
      <c r="D7" s="38">
        <f t="shared" ref="D7:D22" si="3">IFERROR(C7/B7,0)</f>
        <v>0</v>
      </c>
      <c r="E7" s="36">
        <v>132</v>
      </c>
      <c r="F7" s="34">
        <v>3</v>
      </c>
      <c r="G7" s="13">
        <f t="shared" si="1"/>
        <v>2.2727272727272728E-2</v>
      </c>
      <c r="H7" s="36">
        <v>0</v>
      </c>
      <c r="I7" s="36">
        <v>0</v>
      </c>
      <c r="J7" s="37">
        <f t="shared" si="2"/>
        <v>0</v>
      </c>
    </row>
    <row r="8" spans="1:10" x14ac:dyDescent="0.25">
      <c r="A8" s="33" t="s">
        <v>145</v>
      </c>
      <c r="B8" s="39"/>
      <c r="C8" s="39">
        <v>28</v>
      </c>
      <c r="D8" s="38">
        <f t="shared" si="3"/>
        <v>0</v>
      </c>
      <c r="E8" s="36">
        <v>135</v>
      </c>
      <c r="F8" s="33">
        <v>8</v>
      </c>
      <c r="G8" s="13">
        <f t="shared" si="1"/>
        <v>5.9259259259259262E-2</v>
      </c>
      <c r="H8" s="36">
        <v>0</v>
      </c>
      <c r="I8" s="36">
        <v>0</v>
      </c>
      <c r="J8" s="37">
        <f t="shared" si="2"/>
        <v>0</v>
      </c>
    </row>
    <row r="9" spans="1:10" x14ac:dyDescent="0.25">
      <c r="A9" s="34" t="s">
        <v>146</v>
      </c>
      <c r="B9" s="39"/>
      <c r="C9" s="39"/>
      <c r="D9" s="38">
        <f t="shared" si="3"/>
        <v>0</v>
      </c>
      <c r="E9" s="36">
        <v>209</v>
      </c>
      <c r="F9" s="34">
        <v>2</v>
      </c>
      <c r="G9" s="13">
        <f t="shared" si="1"/>
        <v>9.5693779904306216E-3</v>
      </c>
      <c r="H9" s="36">
        <v>0</v>
      </c>
      <c r="I9" s="36">
        <v>0</v>
      </c>
      <c r="J9" s="37">
        <f t="shared" si="2"/>
        <v>0</v>
      </c>
    </row>
    <row r="10" spans="1:10" x14ac:dyDescent="0.25">
      <c r="A10" s="33" t="s">
        <v>107</v>
      </c>
      <c r="B10" s="39"/>
      <c r="C10" s="39"/>
      <c r="D10" s="38">
        <f t="shared" si="3"/>
        <v>0</v>
      </c>
      <c r="E10" s="36">
        <v>152</v>
      </c>
      <c r="F10" s="35"/>
      <c r="G10" s="13">
        <f t="shared" si="1"/>
        <v>0</v>
      </c>
      <c r="H10" s="36">
        <v>0</v>
      </c>
      <c r="I10" s="36">
        <v>0</v>
      </c>
      <c r="J10" s="37">
        <f t="shared" si="2"/>
        <v>0</v>
      </c>
    </row>
    <row r="11" spans="1:10" x14ac:dyDescent="0.25">
      <c r="A11" s="34" t="s">
        <v>147</v>
      </c>
      <c r="B11" s="39"/>
      <c r="C11" s="39"/>
      <c r="D11" s="38">
        <f t="shared" si="3"/>
        <v>0</v>
      </c>
      <c r="E11" s="36">
        <v>152</v>
      </c>
      <c r="F11" s="34">
        <v>8</v>
      </c>
      <c r="G11" s="13">
        <f t="shared" si="1"/>
        <v>5.2631578947368418E-2</v>
      </c>
      <c r="H11" s="36">
        <v>0</v>
      </c>
      <c r="I11" s="36">
        <v>0</v>
      </c>
      <c r="J11" s="37">
        <f t="shared" si="2"/>
        <v>0</v>
      </c>
    </row>
    <row r="12" spans="1:10" x14ac:dyDescent="0.25">
      <c r="A12" s="33" t="s">
        <v>148</v>
      </c>
      <c r="B12" s="39"/>
      <c r="C12" s="39"/>
      <c r="D12" s="38">
        <f t="shared" si="3"/>
        <v>0</v>
      </c>
      <c r="E12" s="36">
        <v>125</v>
      </c>
      <c r="F12" s="33">
        <v>4</v>
      </c>
      <c r="G12" s="13">
        <f t="shared" si="1"/>
        <v>3.2000000000000001E-2</v>
      </c>
      <c r="H12" s="36">
        <v>0</v>
      </c>
      <c r="I12" s="36">
        <v>0</v>
      </c>
      <c r="J12" s="37">
        <f t="shared" si="2"/>
        <v>0</v>
      </c>
    </row>
    <row r="13" spans="1:10" x14ac:dyDescent="0.25">
      <c r="A13" s="34" t="s">
        <v>149</v>
      </c>
      <c r="B13" s="39"/>
      <c r="C13" s="39"/>
      <c r="D13" s="38">
        <f t="shared" si="3"/>
        <v>0</v>
      </c>
      <c r="E13" s="36" t="s">
        <v>153</v>
      </c>
      <c r="F13" s="36" t="s">
        <v>153</v>
      </c>
      <c r="G13" s="13">
        <f t="shared" si="1"/>
        <v>0</v>
      </c>
      <c r="H13" s="36">
        <v>0</v>
      </c>
      <c r="I13" s="36">
        <v>0</v>
      </c>
      <c r="J13" s="37">
        <f t="shared" si="2"/>
        <v>0</v>
      </c>
    </row>
    <row r="14" spans="1:10" x14ac:dyDescent="0.25">
      <c r="A14" s="33" t="s">
        <v>111</v>
      </c>
      <c r="B14" s="39"/>
      <c r="C14" s="39"/>
      <c r="D14" s="38">
        <f t="shared" si="3"/>
        <v>0</v>
      </c>
      <c r="E14" s="36" t="s">
        <v>153</v>
      </c>
      <c r="F14" s="36" t="s">
        <v>153</v>
      </c>
      <c r="G14" s="13">
        <f t="shared" si="1"/>
        <v>0</v>
      </c>
      <c r="H14" s="36">
        <v>0</v>
      </c>
      <c r="I14" s="36">
        <v>0</v>
      </c>
      <c r="J14" s="37">
        <f t="shared" si="2"/>
        <v>0</v>
      </c>
    </row>
    <row r="15" spans="1:10" x14ac:dyDescent="0.25">
      <c r="A15" s="34" t="s">
        <v>36</v>
      </c>
      <c r="B15" s="39"/>
      <c r="C15" s="39"/>
      <c r="D15" s="38">
        <f t="shared" si="3"/>
        <v>0</v>
      </c>
      <c r="E15" s="36" t="s">
        <v>153</v>
      </c>
      <c r="F15" s="36" t="s">
        <v>153</v>
      </c>
      <c r="G15" s="13">
        <f t="shared" si="1"/>
        <v>0</v>
      </c>
      <c r="H15" s="36">
        <v>0</v>
      </c>
      <c r="I15" s="36">
        <v>0</v>
      </c>
      <c r="J15" s="37">
        <f t="shared" si="2"/>
        <v>0</v>
      </c>
    </row>
    <row r="16" spans="1:10" x14ac:dyDescent="0.25">
      <c r="A16" s="33" t="s">
        <v>150</v>
      </c>
      <c r="B16" s="39"/>
      <c r="C16" s="39"/>
      <c r="D16" s="38">
        <f t="shared" si="3"/>
        <v>0</v>
      </c>
      <c r="E16" s="36" t="s">
        <v>153</v>
      </c>
      <c r="F16" s="36" t="s">
        <v>153</v>
      </c>
      <c r="G16" s="13">
        <f t="shared" si="1"/>
        <v>0</v>
      </c>
      <c r="H16" s="36">
        <v>0</v>
      </c>
      <c r="I16" s="36">
        <v>0</v>
      </c>
      <c r="J16" s="37">
        <f t="shared" si="2"/>
        <v>0</v>
      </c>
    </row>
    <row r="17" spans="1:10" x14ac:dyDescent="0.25">
      <c r="A17" s="34" t="s">
        <v>35</v>
      </c>
      <c r="B17" s="39"/>
      <c r="C17" s="39"/>
      <c r="D17" s="38">
        <f t="shared" si="3"/>
        <v>0</v>
      </c>
      <c r="E17" s="36" t="s">
        <v>153</v>
      </c>
      <c r="F17" s="36" t="s">
        <v>153</v>
      </c>
      <c r="G17" s="13">
        <f t="shared" si="1"/>
        <v>0</v>
      </c>
      <c r="H17" s="36">
        <v>0</v>
      </c>
      <c r="I17" s="36">
        <v>0</v>
      </c>
      <c r="J17" s="37">
        <f t="shared" si="2"/>
        <v>0</v>
      </c>
    </row>
    <row r="18" spans="1:10" x14ac:dyDescent="0.25">
      <c r="A18" s="33" t="s">
        <v>33</v>
      </c>
      <c r="B18" s="39"/>
      <c r="C18" s="39"/>
      <c r="D18" s="38">
        <f t="shared" si="3"/>
        <v>0</v>
      </c>
      <c r="E18" s="36" t="s">
        <v>153</v>
      </c>
      <c r="F18" s="36" t="s">
        <v>153</v>
      </c>
      <c r="G18" s="13">
        <f t="shared" si="1"/>
        <v>0</v>
      </c>
      <c r="H18" s="36">
        <v>0</v>
      </c>
      <c r="I18" s="36">
        <v>0</v>
      </c>
      <c r="J18" s="37">
        <f t="shared" si="2"/>
        <v>0</v>
      </c>
    </row>
    <row r="19" spans="1:10" x14ac:dyDescent="0.25">
      <c r="A19" s="34" t="s">
        <v>29</v>
      </c>
      <c r="B19" s="39"/>
      <c r="C19" s="39"/>
      <c r="D19" s="38">
        <f t="shared" si="3"/>
        <v>0</v>
      </c>
      <c r="E19" s="36" t="s">
        <v>153</v>
      </c>
      <c r="F19" s="36" t="s">
        <v>153</v>
      </c>
      <c r="G19" s="13">
        <f t="shared" si="1"/>
        <v>0</v>
      </c>
      <c r="H19" s="36">
        <v>0</v>
      </c>
      <c r="I19" s="36">
        <v>0</v>
      </c>
      <c r="J19" s="37">
        <f t="shared" si="2"/>
        <v>0</v>
      </c>
    </row>
    <row r="20" spans="1:10" x14ac:dyDescent="0.25">
      <c r="A20" s="33" t="s">
        <v>28</v>
      </c>
      <c r="B20" s="39"/>
      <c r="C20" s="39"/>
      <c r="D20" s="38">
        <f t="shared" si="3"/>
        <v>0</v>
      </c>
      <c r="E20" s="36" t="s">
        <v>153</v>
      </c>
      <c r="F20" s="36" t="s">
        <v>153</v>
      </c>
      <c r="G20" s="13">
        <f t="shared" si="1"/>
        <v>0</v>
      </c>
      <c r="H20" s="36">
        <v>0</v>
      </c>
      <c r="I20" s="36">
        <v>0</v>
      </c>
      <c r="J20" s="37">
        <f t="shared" si="2"/>
        <v>0</v>
      </c>
    </row>
    <row r="21" spans="1:10" x14ac:dyDescent="0.25">
      <c r="A21" s="34" t="s">
        <v>151</v>
      </c>
      <c r="B21" s="39"/>
      <c r="C21" s="39">
        <v>50</v>
      </c>
      <c r="D21" s="38">
        <f t="shared" si="3"/>
        <v>0</v>
      </c>
      <c r="E21" s="36" t="s">
        <v>153</v>
      </c>
      <c r="F21" s="36" t="s">
        <v>153</v>
      </c>
      <c r="G21" s="13">
        <f t="shared" si="1"/>
        <v>0</v>
      </c>
      <c r="H21" s="36">
        <v>0</v>
      </c>
      <c r="I21" s="36">
        <v>0</v>
      </c>
      <c r="J21" s="37">
        <f t="shared" si="2"/>
        <v>0</v>
      </c>
    </row>
    <row r="22" spans="1:10" x14ac:dyDescent="0.25">
      <c r="A22" s="33" t="s">
        <v>152</v>
      </c>
      <c r="B22" s="39"/>
      <c r="C22" s="39">
        <v>300</v>
      </c>
      <c r="D22" s="38">
        <f t="shared" si="3"/>
        <v>0</v>
      </c>
      <c r="E22" s="36" t="s">
        <v>153</v>
      </c>
      <c r="F22" s="36" t="s">
        <v>153</v>
      </c>
      <c r="G22" s="13">
        <f t="shared" si="1"/>
        <v>0</v>
      </c>
      <c r="H22" s="36">
        <v>0</v>
      </c>
      <c r="I22" s="36">
        <v>0</v>
      </c>
      <c r="J22" s="37">
        <f t="shared" si="2"/>
        <v>0</v>
      </c>
    </row>
    <row r="25" spans="1:10" x14ac:dyDescent="0.25">
      <c r="A25" s="10"/>
      <c r="B25" s="12"/>
      <c r="C25" s="12"/>
      <c r="D25" s="13"/>
      <c r="E25" s="12"/>
      <c r="F25" s="12"/>
      <c r="G25" s="13"/>
      <c r="H25" s="12"/>
      <c r="I25" s="12"/>
      <c r="J25" s="13"/>
    </row>
    <row r="26" spans="1:10" x14ac:dyDescent="0.25">
      <c r="A26" s="10" t="s">
        <v>28</v>
      </c>
      <c r="B26" s="12"/>
      <c r="C26" s="12"/>
      <c r="D26" s="13">
        <f>IFERROR(C26/B26,0)</f>
        <v>0</v>
      </c>
      <c r="E26" s="12"/>
      <c r="F26" s="12"/>
      <c r="G26" s="13">
        <f>IFERROR(F26/E26,0)</f>
        <v>0</v>
      </c>
      <c r="H26" s="12">
        <v>0</v>
      </c>
      <c r="I26" s="12">
        <v>0</v>
      </c>
      <c r="J26" s="13">
        <f>IFERROR(I26/H26,0)</f>
        <v>0</v>
      </c>
    </row>
    <row r="27" spans="1:10" x14ac:dyDescent="0.25">
      <c r="A27" s="10" t="s">
        <v>29</v>
      </c>
      <c r="B27" s="12"/>
      <c r="C27" s="12"/>
      <c r="D27" s="13">
        <f t="shared" ref="D27:D37" si="4">IFERROR(C27/B27,0)</f>
        <v>0</v>
      </c>
      <c r="E27" s="12"/>
      <c r="F27" s="12"/>
      <c r="G27" s="13">
        <f t="shared" ref="G27:G37" si="5">IFERROR(F27/E27,0)</f>
        <v>0</v>
      </c>
      <c r="H27" s="12">
        <v>0</v>
      </c>
      <c r="I27" s="12">
        <v>0</v>
      </c>
      <c r="J27" s="13">
        <f t="shared" ref="J4:J37" si="6">IFERROR(I27/H27,0)</f>
        <v>0</v>
      </c>
    </row>
    <row r="28" spans="1:10" x14ac:dyDescent="0.25">
      <c r="A28" s="10" t="s">
        <v>30</v>
      </c>
      <c r="B28" s="12"/>
      <c r="C28" s="12"/>
      <c r="D28" s="13">
        <f t="shared" si="4"/>
        <v>0</v>
      </c>
      <c r="E28" s="12"/>
      <c r="F28" s="12"/>
      <c r="G28" s="13">
        <f t="shared" si="5"/>
        <v>0</v>
      </c>
      <c r="H28" s="12">
        <v>0</v>
      </c>
      <c r="I28" s="12">
        <v>0</v>
      </c>
      <c r="J28" s="13">
        <f t="shared" si="6"/>
        <v>0</v>
      </c>
    </row>
    <row r="29" spans="1:10" x14ac:dyDescent="0.25">
      <c r="A29" s="10" t="s">
        <v>31</v>
      </c>
      <c r="B29" s="12"/>
      <c r="C29" s="12"/>
      <c r="D29" s="13">
        <f t="shared" si="4"/>
        <v>0</v>
      </c>
      <c r="E29" s="12"/>
      <c r="F29" s="12"/>
      <c r="G29" s="13">
        <f t="shared" si="5"/>
        <v>0</v>
      </c>
      <c r="H29" s="12">
        <v>0</v>
      </c>
      <c r="I29" s="12">
        <v>0</v>
      </c>
      <c r="J29" s="13">
        <f t="shared" si="6"/>
        <v>0</v>
      </c>
    </row>
    <row r="30" spans="1:10" x14ac:dyDescent="0.25">
      <c r="A30" s="10" t="s">
        <v>32</v>
      </c>
      <c r="B30" s="12"/>
      <c r="C30" s="12"/>
      <c r="D30" s="13">
        <f t="shared" si="4"/>
        <v>0</v>
      </c>
      <c r="E30" s="12"/>
      <c r="F30" s="12"/>
      <c r="G30" s="13">
        <f t="shared" si="5"/>
        <v>0</v>
      </c>
      <c r="H30" s="12">
        <v>0</v>
      </c>
      <c r="I30" s="12">
        <v>0</v>
      </c>
      <c r="J30" s="13">
        <f t="shared" si="6"/>
        <v>0</v>
      </c>
    </row>
    <row r="31" spans="1:10" x14ac:dyDescent="0.25">
      <c r="A31" s="10" t="s">
        <v>33</v>
      </c>
      <c r="B31" s="12"/>
      <c r="C31" s="12"/>
      <c r="D31" s="13">
        <f t="shared" si="4"/>
        <v>0</v>
      </c>
      <c r="E31" s="12"/>
      <c r="F31" s="12"/>
      <c r="G31" s="13">
        <f t="shared" si="5"/>
        <v>0</v>
      </c>
      <c r="H31" s="12">
        <v>0</v>
      </c>
      <c r="I31" s="12">
        <v>0</v>
      </c>
      <c r="J31" s="13">
        <f t="shared" si="6"/>
        <v>0</v>
      </c>
    </row>
    <row r="32" spans="1:10" x14ac:dyDescent="0.25">
      <c r="A32" s="10" t="s">
        <v>34</v>
      </c>
      <c r="B32" s="12"/>
      <c r="C32" s="12"/>
      <c r="D32" s="13">
        <f t="shared" si="4"/>
        <v>0</v>
      </c>
      <c r="E32" s="12"/>
      <c r="F32" s="12"/>
      <c r="G32" s="13">
        <f t="shared" si="5"/>
        <v>0</v>
      </c>
      <c r="H32" s="12">
        <v>0</v>
      </c>
      <c r="I32" s="12">
        <v>0</v>
      </c>
      <c r="J32" s="13">
        <f t="shared" si="6"/>
        <v>0</v>
      </c>
    </row>
    <row r="33" spans="1:10" x14ac:dyDescent="0.25">
      <c r="A33" s="10" t="s">
        <v>35</v>
      </c>
      <c r="B33" s="12"/>
      <c r="C33" s="12"/>
      <c r="D33" s="13">
        <f t="shared" si="4"/>
        <v>0</v>
      </c>
      <c r="E33" s="12"/>
      <c r="F33" s="12"/>
      <c r="G33" s="13">
        <f t="shared" si="5"/>
        <v>0</v>
      </c>
      <c r="H33" s="12">
        <v>0</v>
      </c>
      <c r="I33" s="12">
        <v>0</v>
      </c>
      <c r="J33" s="13">
        <f t="shared" si="6"/>
        <v>0</v>
      </c>
    </row>
    <row r="34" spans="1:10" x14ac:dyDescent="0.25">
      <c r="A34" s="10" t="s">
        <v>36</v>
      </c>
      <c r="B34" s="12"/>
      <c r="C34" s="12"/>
      <c r="D34" s="13">
        <f t="shared" si="4"/>
        <v>0</v>
      </c>
      <c r="E34" s="12"/>
      <c r="F34" s="12"/>
      <c r="G34" s="13">
        <f t="shared" si="5"/>
        <v>0</v>
      </c>
      <c r="H34" s="12">
        <v>0</v>
      </c>
      <c r="I34" s="12">
        <v>0</v>
      </c>
      <c r="J34" s="13">
        <f t="shared" si="6"/>
        <v>0</v>
      </c>
    </row>
    <row r="35" spans="1:10" x14ac:dyDescent="0.25">
      <c r="A35" s="10" t="s">
        <v>37</v>
      </c>
      <c r="B35" s="12"/>
      <c r="C35" s="12"/>
      <c r="D35" s="13">
        <f t="shared" si="4"/>
        <v>0</v>
      </c>
      <c r="E35" s="12"/>
      <c r="F35" s="12"/>
      <c r="G35" s="13">
        <f t="shared" si="5"/>
        <v>0</v>
      </c>
      <c r="H35" s="12">
        <v>0</v>
      </c>
      <c r="I35" s="12">
        <v>0</v>
      </c>
      <c r="J35" s="13">
        <f t="shared" si="6"/>
        <v>0</v>
      </c>
    </row>
    <row r="36" spans="1:10" x14ac:dyDescent="0.25">
      <c r="A36" s="10" t="s">
        <v>38</v>
      </c>
      <c r="B36" s="12"/>
      <c r="C36" s="12"/>
      <c r="D36" s="13">
        <f t="shared" si="4"/>
        <v>0</v>
      </c>
      <c r="E36" s="12"/>
      <c r="F36" s="12"/>
      <c r="G36" s="13">
        <f t="shared" si="5"/>
        <v>0</v>
      </c>
      <c r="H36" s="12">
        <v>0</v>
      </c>
      <c r="I36" s="12">
        <v>0</v>
      </c>
      <c r="J36" s="13">
        <f t="shared" si="6"/>
        <v>0</v>
      </c>
    </row>
    <row r="37" spans="1:10" x14ac:dyDescent="0.25">
      <c r="A37" s="14" t="s">
        <v>39</v>
      </c>
      <c r="B37" s="14">
        <f>SUM(B25:B36)</f>
        <v>0</v>
      </c>
      <c r="C37" s="14">
        <f>SUM(C25:C36)</f>
        <v>0</v>
      </c>
      <c r="D37" s="15">
        <f t="shared" si="4"/>
        <v>0</v>
      </c>
      <c r="E37" s="14">
        <f>SUM(E25:E36)</f>
        <v>0</v>
      </c>
      <c r="F37" s="14">
        <f>SUM(F25:F36)</f>
        <v>0</v>
      </c>
      <c r="G37" s="15">
        <f t="shared" si="5"/>
        <v>0</v>
      </c>
      <c r="H37" s="14">
        <f>SUM(H25:H36)</f>
        <v>0</v>
      </c>
      <c r="I37" s="14">
        <f>SUM(I25:I36)</f>
        <v>0</v>
      </c>
      <c r="J37" s="15">
        <f t="shared" si="6"/>
        <v>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0" sqref="G20"/>
    </sheetView>
  </sheetViews>
  <sheetFormatPr defaultColWidth="8.7109375" defaultRowHeight="15" x14ac:dyDescent="0.25"/>
  <cols>
    <col min="1" max="1" width="15" customWidth="1"/>
    <col min="2" max="2" width="18.42578125" customWidth="1"/>
    <col min="3" max="3" width="11.42578125" customWidth="1"/>
    <col min="4" max="4" width="23.140625" customWidth="1"/>
    <col min="5" max="5" width="23.42578125" customWidth="1"/>
    <col min="6" max="6" width="16" customWidth="1"/>
    <col min="7" max="7" width="16.7109375" customWidth="1"/>
    <col min="8" max="8" width="14.28515625" customWidth="1"/>
    <col min="9" max="9" width="12" customWidth="1"/>
    <col min="10" max="10" width="15.28515625" customWidth="1"/>
    <col min="11" max="11" width="16.5703125" customWidth="1"/>
    <col min="12" max="12" width="28.85546875" customWidth="1"/>
    <col min="13" max="13" width="44.5703125" customWidth="1"/>
  </cols>
  <sheetData>
    <row r="1" spans="1:13" ht="21.75" customHeight="1" x14ac:dyDescent="0.25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25">
      <c r="A2" s="3" t="s">
        <v>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45.75" customHeight="1" x14ac:dyDescent="0.25">
      <c r="A3" s="9" t="s">
        <v>19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9" t="s">
        <v>82</v>
      </c>
    </row>
    <row r="4" spans="1:13" ht="30" customHeight="1" x14ac:dyDescent="0.25">
      <c r="A4" s="18" t="s">
        <v>31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87</v>
      </c>
      <c r="G4" s="18" t="s">
        <v>87</v>
      </c>
      <c r="H4" s="18" t="s">
        <v>86</v>
      </c>
      <c r="I4" s="18" t="s">
        <v>86</v>
      </c>
      <c r="J4" s="18" t="s">
        <v>86</v>
      </c>
      <c r="K4" s="18" t="s">
        <v>86</v>
      </c>
      <c r="L4" s="18" t="s">
        <v>88</v>
      </c>
      <c r="M4" s="18" t="s">
        <v>89</v>
      </c>
    </row>
    <row r="5" spans="1:13" ht="15.75" x14ac:dyDescent="0.25">
      <c r="A5" s="23" t="s">
        <v>103</v>
      </c>
      <c r="B5" s="23" t="s">
        <v>119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15.75" x14ac:dyDescent="0.25">
      <c r="A6" s="23" t="s">
        <v>106</v>
      </c>
      <c r="B6" s="23" t="s">
        <v>120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25">
      <c r="A7" s="24" t="s">
        <v>115</v>
      </c>
      <c r="B7" s="24" t="s">
        <v>121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0" x14ac:dyDescent="0.25">
      <c r="A8" s="24" t="s">
        <v>116</v>
      </c>
      <c r="B8" s="24" t="s">
        <v>122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21" x14ac:dyDescent="0.25">
      <c r="A9" s="25" t="s">
        <v>106</v>
      </c>
      <c r="B9" s="25" t="s">
        <v>123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21" x14ac:dyDescent="0.25">
      <c r="A10" s="25" t="s">
        <v>106</v>
      </c>
      <c r="B10" s="25" t="s">
        <v>123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31.5" x14ac:dyDescent="0.25">
      <c r="A11" s="26" t="s">
        <v>117</v>
      </c>
      <c r="B11" s="26" t="s">
        <v>124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21" x14ac:dyDescent="0.25">
      <c r="A12" s="25" t="s">
        <v>106</v>
      </c>
      <c r="B12" s="25" t="s">
        <v>125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60" x14ac:dyDescent="0.25">
      <c r="A13" s="27" t="s">
        <v>117</v>
      </c>
      <c r="B13" s="27" t="s">
        <v>126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30" x14ac:dyDescent="0.25">
      <c r="A14" s="27" t="s">
        <v>117</v>
      </c>
      <c r="B14" s="27" t="s">
        <v>127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25">
      <c r="A15" s="28" t="s">
        <v>118</v>
      </c>
      <c r="B15" t="s">
        <v>128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A16" s="28" t="s">
        <v>118</v>
      </c>
      <c r="B16" t="s">
        <v>132</v>
      </c>
      <c r="C16" s="12"/>
      <c r="D16" s="12"/>
      <c r="E16" s="21" t="s">
        <v>130</v>
      </c>
      <c r="F16" s="21" t="s">
        <v>131</v>
      </c>
      <c r="G16" s="21" t="s">
        <v>130</v>
      </c>
      <c r="H16" s="21" t="s">
        <v>130</v>
      </c>
      <c r="I16" s="21" t="s">
        <v>134</v>
      </c>
      <c r="J16" s="21" t="s">
        <v>134</v>
      </c>
      <c r="K16" s="21" t="s">
        <v>130</v>
      </c>
      <c r="L16" s="21" t="s">
        <v>136</v>
      </c>
      <c r="M16" s="21" t="s">
        <v>135</v>
      </c>
    </row>
    <row r="17" spans="1:13" x14ac:dyDescent="0.25">
      <c r="A17" s="28" t="s">
        <v>118</v>
      </c>
      <c r="B17" t="s">
        <v>133</v>
      </c>
      <c r="C17" s="12"/>
      <c r="D17" s="12"/>
      <c r="E17" s="21" t="s">
        <v>130</v>
      </c>
      <c r="F17" s="21" t="s">
        <v>131</v>
      </c>
      <c r="G17" s="21" t="s">
        <v>130</v>
      </c>
      <c r="H17" s="21" t="s">
        <v>130</v>
      </c>
      <c r="I17" s="21" t="s">
        <v>134</v>
      </c>
      <c r="J17" s="21" t="s">
        <v>134</v>
      </c>
      <c r="K17" s="21" t="s">
        <v>130</v>
      </c>
      <c r="L17" s="21" t="s">
        <v>136</v>
      </c>
      <c r="M17" s="21" t="s">
        <v>135</v>
      </c>
    </row>
    <row r="18" spans="1:13" x14ac:dyDescent="0.25">
      <c r="A18" s="29" t="s">
        <v>106</v>
      </c>
      <c r="B18" s="30" t="s">
        <v>129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</sheetData>
  <mergeCells count="2">
    <mergeCell ref="A1:M1"/>
    <mergeCell ref="A2:M2"/>
  </mergeCells>
  <dataValidations count="3">
    <dataValidation type="list" allowBlank="1" sqref="E5:K29">
      <formula1>"Y,N"</formula1>
      <formula2>0</formula2>
    </dataValidation>
    <dataValidation type="list" allowBlank="1" sqref="L5:L29">
      <formula1>"Good,Moderate,Poor"</formula1>
      <formula2>0</formula2>
    </dataValidation>
    <dataValidation type="list" allowBlank="1" sqref="A5:A14 A18:A29">
      <formula1>"Garhshankar,Mahilpur,Hoshiarpur-1,Hoshiarpur-2,Bhunga,Dasuya,Tanda,Talwara,Mukerian,Hajipur,Urban (MC Hoshiarpur + ULBs)"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4" sqref="G4"/>
    </sheetView>
  </sheetViews>
  <sheetFormatPr defaultColWidth="8.7109375" defaultRowHeight="15" x14ac:dyDescent="0.25"/>
  <cols>
    <col min="1" max="1" width="30.85546875" customWidth="1"/>
    <col min="2" max="2" width="14" customWidth="1"/>
    <col min="3" max="3" width="15" customWidth="1"/>
    <col min="4" max="4" width="12" customWidth="1"/>
    <col min="5" max="5" width="14.140625" customWidth="1"/>
    <col min="6" max="6" width="17.140625" customWidth="1"/>
    <col min="7" max="8" width="22" customWidth="1"/>
    <col min="9" max="9" width="14" customWidth="1"/>
  </cols>
  <sheetData>
    <row r="1" spans="1:9" ht="21.75" customHeight="1" x14ac:dyDescent="0.25">
      <c r="A1" s="1" t="s">
        <v>90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91</v>
      </c>
      <c r="B2" s="3"/>
      <c r="C2" s="3"/>
      <c r="D2" s="3"/>
      <c r="E2" s="3"/>
      <c r="F2" s="3"/>
      <c r="G2" s="3"/>
      <c r="H2" s="3"/>
      <c r="I2" s="3"/>
    </row>
    <row r="3" spans="1:9" ht="54" customHeight="1" x14ac:dyDescent="0.25">
      <c r="A3" s="9" t="s">
        <v>19</v>
      </c>
      <c r="B3" s="9" t="s">
        <v>92</v>
      </c>
      <c r="C3" s="9" t="s">
        <v>24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98</v>
      </c>
    </row>
    <row r="4" spans="1:9" ht="27.75" customHeight="1" x14ac:dyDescent="0.25">
      <c r="A4" s="31" t="s">
        <v>109</v>
      </c>
      <c r="B4" s="12">
        <v>3</v>
      </c>
      <c r="C4">
        <v>10</v>
      </c>
      <c r="D4" s="12"/>
      <c r="E4" s="12"/>
      <c r="F4" s="12">
        <v>3</v>
      </c>
      <c r="G4" s="19"/>
      <c r="H4" s="19"/>
      <c r="I4" s="12"/>
    </row>
    <row r="5" spans="1:9" ht="27.75" customHeight="1" x14ac:dyDescent="0.25">
      <c r="A5" s="31" t="s">
        <v>137</v>
      </c>
      <c r="B5" s="12">
        <v>1</v>
      </c>
      <c r="C5">
        <v>5</v>
      </c>
      <c r="D5" s="12"/>
      <c r="E5" s="12"/>
      <c r="F5" s="12"/>
      <c r="G5" s="19"/>
      <c r="H5" s="19"/>
      <c r="I5" s="12"/>
    </row>
    <row r="6" spans="1:9" ht="27.75" customHeight="1" x14ac:dyDescent="0.25">
      <c r="A6" s="31" t="s">
        <v>138</v>
      </c>
      <c r="B6" s="12">
        <v>0</v>
      </c>
      <c r="C6">
        <v>0</v>
      </c>
      <c r="D6" s="12"/>
      <c r="E6" s="12"/>
      <c r="F6" s="12"/>
      <c r="G6" s="19"/>
      <c r="H6" s="19"/>
      <c r="I6" s="12"/>
    </row>
    <row r="7" spans="1:9" ht="27.75" customHeight="1" x14ac:dyDescent="0.25">
      <c r="A7" s="31" t="s">
        <v>139</v>
      </c>
      <c r="B7" s="12">
        <v>3</v>
      </c>
      <c r="C7">
        <v>7</v>
      </c>
      <c r="D7" s="12"/>
      <c r="E7" s="12"/>
      <c r="F7" s="12"/>
      <c r="G7" s="19"/>
      <c r="H7" s="19"/>
      <c r="I7" s="12"/>
    </row>
    <row r="8" spans="1:9" ht="27.75" customHeight="1" x14ac:dyDescent="0.25">
      <c r="A8" s="31" t="s">
        <v>140</v>
      </c>
      <c r="B8" s="12">
        <v>5</v>
      </c>
      <c r="C8">
        <v>7</v>
      </c>
      <c r="D8" s="12"/>
      <c r="E8" s="12"/>
      <c r="F8" s="12"/>
      <c r="G8" s="19"/>
      <c r="H8" s="19"/>
      <c r="I8" s="12"/>
    </row>
    <row r="9" spans="1:9" ht="27.75" customHeight="1" x14ac:dyDescent="0.25">
      <c r="A9" s="31" t="s">
        <v>103</v>
      </c>
      <c r="B9" s="12">
        <v>1</v>
      </c>
      <c r="C9">
        <v>4</v>
      </c>
      <c r="D9" s="12"/>
      <c r="E9" s="12"/>
      <c r="F9" s="12"/>
      <c r="G9" s="19"/>
      <c r="H9" s="19"/>
      <c r="I9" s="12"/>
    </row>
    <row r="10" spans="1:9" ht="27.75" customHeight="1" x14ac:dyDescent="0.25">
      <c r="A10" s="31" t="s">
        <v>141</v>
      </c>
      <c r="B10" s="12">
        <v>0</v>
      </c>
      <c r="C10">
        <v>0</v>
      </c>
      <c r="D10" s="12"/>
      <c r="E10" s="12"/>
      <c r="F10" s="12"/>
      <c r="G10" s="19"/>
      <c r="H10" s="19"/>
      <c r="I10" s="12"/>
    </row>
    <row r="11" spans="1:9" ht="27.75" customHeight="1" x14ac:dyDescent="0.25">
      <c r="A11" s="31" t="s">
        <v>142</v>
      </c>
      <c r="B11" s="12">
        <v>1</v>
      </c>
      <c r="C11">
        <v>9</v>
      </c>
      <c r="D11" s="12"/>
      <c r="E11" s="12"/>
      <c r="F11" s="12"/>
      <c r="G11" s="19"/>
      <c r="H11" s="19"/>
      <c r="I11" s="12"/>
    </row>
    <row r="12" spans="1:9" ht="27.75" customHeight="1" x14ac:dyDescent="0.25">
      <c r="A12" s="31" t="s">
        <v>143</v>
      </c>
      <c r="B12" s="12">
        <v>0</v>
      </c>
      <c r="C12">
        <v>0</v>
      </c>
      <c r="D12" s="12"/>
      <c r="E12" s="12"/>
      <c r="F12" s="12"/>
      <c r="G12" s="19"/>
      <c r="H12" s="19"/>
      <c r="I12" s="12"/>
    </row>
    <row r="13" spans="1:9" ht="27.75" customHeight="1" x14ac:dyDescent="0.25">
      <c r="A13" s="31" t="s">
        <v>144</v>
      </c>
      <c r="B13" s="12">
        <v>0</v>
      </c>
      <c r="C13">
        <v>0</v>
      </c>
      <c r="D13" s="12"/>
      <c r="E13" s="12"/>
      <c r="F13" s="12"/>
      <c r="G13" s="19"/>
      <c r="H13" s="19"/>
      <c r="I13" s="12"/>
    </row>
    <row r="14" spans="1:9" ht="27.75" customHeight="1" x14ac:dyDescent="0.25">
      <c r="A14" s="10" t="s">
        <v>28</v>
      </c>
      <c r="B14" s="12"/>
      <c r="C14" s="12"/>
      <c r="D14" s="12"/>
      <c r="E14" s="12"/>
      <c r="F14" s="12"/>
      <c r="G14" s="19"/>
      <c r="H14" s="19"/>
      <c r="I14" s="12"/>
    </row>
    <row r="15" spans="1:9" ht="27.75" customHeight="1" x14ac:dyDescent="0.25">
      <c r="A15" s="10" t="s">
        <v>29</v>
      </c>
      <c r="B15" s="12"/>
      <c r="C15" s="12"/>
      <c r="D15" s="12"/>
      <c r="E15" s="12"/>
      <c r="F15" s="12"/>
      <c r="G15" s="19"/>
      <c r="H15" s="19"/>
      <c r="I15" s="12"/>
    </row>
    <row r="16" spans="1:9" ht="27.75" customHeight="1" x14ac:dyDescent="0.25">
      <c r="A16" s="10" t="s">
        <v>30</v>
      </c>
      <c r="B16" s="12"/>
      <c r="C16" s="12"/>
      <c r="D16" s="12"/>
      <c r="E16" s="12"/>
      <c r="F16" s="12"/>
      <c r="G16" s="19"/>
      <c r="H16" s="19"/>
      <c r="I16" s="12"/>
    </row>
    <row r="17" spans="1:9" ht="27.75" customHeight="1" x14ac:dyDescent="0.25">
      <c r="A17" s="10" t="s">
        <v>31</v>
      </c>
      <c r="B17" s="12"/>
      <c r="C17" s="12"/>
      <c r="D17" s="12"/>
      <c r="E17" s="12"/>
      <c r="F17" s="12"/>
      <c r="G17" s="19"/>
      <c r="H17" s="19"/>
      <c r="I17" s="12"/>
    </row>
    <row r="18" spans="1:9" ht="27.75" customHeight="1" x14ac:dyDescent="0.25">
      <c r="A18" s="10" t="s">
        <v>32</v>
      </c>
      <c r="B18" s="12"/>
      <c r="C18" s="12"/>
      <c r="D18" s="12"/>
      <c r="E18" s="12"/>
      <c r="F18" s="12"/>
      <c r="G18" s="19"/>
      <c r="H18" s="19"/>
      <c r="I18" s="12"/>
    </row>
    <row r="19" spans="1:9" ht="27.75" customHeight="1" x14ac:dyDescent="0.25">
      <c r="A19" s="10" t="s">
        <v>33</v>
      </c>
      <c r="B19" s="12"/>
      <c r="C19" s="12"/>
      <c r="D19" s="12"/>
      <c r="E19" s="12"/>
      <c r="F19" s="12"/>
      <c r="G19" s="19"/>
      <c r="H19" s="19"/>
      <c r="I19" s="12"/>
    </row>
    <row r="20" spans="1:9" ht="27.75" customHeight="1" x14ac:dyDescent="0.25">
      <c r="A20" s="10" t="s">
        <v>34</v>
      </c>
      <c r="B20" s="12"/>
      <c r="C20" s="12"/>
      <c r="D20" s="12"/>
      <c r="E20" s="12"/>
      <c r="F20" s="12"/>
      <c r="G20" s="19"/>
      <c r="H20" s="19"/>
      <c r="I20" s="12"/>
    </row>
    <row r="21" spans="1:9" ht="27.75" customHeight="1" x14ac:dyDescent="0.25">
      <c r="A21" s="10" t="s">
        <v>35</v>
      </c>
      <c r="B21" s="12"/>
      <c r="C21" s="12"/>
      <c r="D21" s="12"/>
      <c r="E21" s="12"/>
      <c r="F21" s="12"/>
      <c r="G21" s="19"/>
      <c r="H21" s="19"/>
      <c r="I21" s="12"/>
    </row>
    <row r="22" spans="1:9" ht="27.75" customHeight="1" x14ac:dyDescent="0.25">
      <c r="A22" s="10" t="s">
        <v>36</v>
      </c>
      <c r="B22" s="12"/>
      <c r="C22" s="12"/>
      <c r="D22" s="12"/>
      <c r="E22" s="12"/>
      <c r="F22" s="12"/>
      <c r="G22" s="19"/>
      <c r="H22" s="19"/>
      <c r="I22" s="12"/>
    </row>
    <row r="23" spans="1:9" ht="27.75" customHeight="1" x14ac:dyDescent="0.25">
      <c r="A23" s="10" t="s">
        <v>37</v>
      </c>
      <c r="B23" s="12"/>
      <c r="C23" s="12"/>
      <c r="D23" s="12"/>
      <c r="E23" s="12"/>
      <c r="F23" s="12"/>
      <c r="G23" s="19"/>
      <c r="H23" s="19"/>
      <c r="I23" s="12"/>
    </row>
    <row r="24" spans="1:9" ht="27.75" customHeight="1" x14ac:dyDescent="0.25">
      <c r="A24" s="10" t="s">
        <v>38</v>
      </c>
      <c r="B24" s="12"/>
      <c r="C24" s="12"/>
      <c r="D24" s="12"/>
      <c r="E24" s="12"/>
      <c r="F24" s="12"/>
      <c r="G24" s="19"/>
      <c r="H24" s="19"/>
      <c r="I24" s="12"/>
    </row>
    <row r="25" spans="1:9" x14ac:dyDescent="0.25">
      <c r="A25" s="14" t="s">
        <v>39</v>
      </c>
      <c r="B25" s="14">
        <f>SUM(B4:B24)</f>
        <v>14</v>
      </c>
      <c r="C25" s="14">
        <f>SUM(C4:C24)</f>
        <v>42</v>
      </c>
      <c r="D25" s="14"/>
      <c r="E25" s="14"/>
      <c r="F25" s="14">
        <f>SUM(F4:F24)</f>
        <v>3</v>
      </c>
      <c r="G25" s="14"/>
      <c r="H25" s="14"/>
      <c r="I25" s="14"/>
    </row>
  </sheetData>
  <mergeCells count="2">
    <mergeCell ref="A1:I1"/>
    <mergeCell ref="A2:I2"/>
  </mergeCells>
  <dataValidations count="1">
    <dataValidation type="list" allowBlank="1" sqref="D4:E24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Dengue &amp; Chikungunya</vt:lpstr>
      <vt:lpstr>Testing Source Split</vt:lpstr>
      <vt:lpstr>Entomological Surveillance</vt:lpstr>
      <vt:lpstr>Community Engagement</vt:lpstr>
      <vt:lpstr>Field Visit &amp; Case Response</vt:lpstr>
      <vt:lpstr>Weekly Block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nvbdcphoshiarpur@outlook.com</cp:lastModifiedBy>
  <cp:revision>0</cp:revision>
  <dcterms:created xsi:type="dcterms:W3CDTF">2026-09-22T12:53:55Z</dcterms:created>
  <dcterms:modified xsi:type="dcterms:W3CDTF">2026-09-28T09:51:52Z</dcterms:modified>
  <dc:language>en-US</dc:language>
</cp:coreProperties>
</file>